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equ\Dev\ProScent\DmsComparison\CompList\"/>
    </mc:Choice>
  </mc:AlternateContent>
  <xr:revisionPtr revIDLastSave="0" documentId="13_ncr:1_{84311E5B-2124-4C23-B1C6-A5D032DCC1FB}" xr6:coauthVersionLast="47" xr6:coauthVersionMax="47" xr10:uidLastSave="{00000000-0000-0000-0000-000000000000}"/>
  <bookViews>
    <workbookView xWindow="810" yWindow="-120" windowWidth="28110" windowHeight="16440" tabRatio="757" xr2:uid="{FE3C194A-2491-44B5-AA46-2849548EF090}"/>
  </bookViews>
  <sheets>
    <sheet name="distances" sheetId="17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24" i="17" l="1"/>
  <c r="V125" i="17"/>
  <c r="V126" i="17"/>
  <c r="V127" i="17"/>
  <c r="V128" i="17"/>
  <c r="V129" i="17"/>
  <c r="V130" i="17"/>
  <c r="V131" i="17"/>
  <c r="V132" i="17"/>
  <c r="V133" i="17"/>
  <c r="V134" i="17"/>
  <c r="V135" i="17"/>
  <c r="J124" i="17"/>
  <c r="K124" i="17"/>
  <c r="J125" i="17"/>
  <c r="K125" i="17"/>
  <c r="J126" i="17"/>
  <c r="K126" i="17"/>
  <c r="J127" i="17"/>
  <c r="K127" i="17"/>
  <c r="J128" i="17"/>
  <c r="K128" i="17"/>
  <c r="J129" i="17"/>
  <c r="K129" i="17"/>
  <c r="J130" i="17"/>
  <c r="K130" i="17"/>
  <c r="J131" i="17"/>
  <c r="K131" i="17"/>
  <c r="J132" i="17"/>
  <c r="K132" i="17"/>
  <c r="J133" i="17"/>
  <c r="K133" i="17"/>
  <c r="J134" i="17"/>
  <c r="K134" i="17"/>
  <c r="J135" i="17"/>
  <c r="K135" i="17"/>
  <c r="V70" i="17"/>
  <c r="V71" i="17"/>
  <c r="V72" i="17"/>
  <c r="V73" i="17"/>
  <c r="V74" i="17"/>
  <c r="V75" i="17"/>
  <c r="V76" i="17"/>
  <c r="V77" i="17"/>
  <c r="V78" i="17"/>
  <c r="V79" i="17"/>
  <c r="V80" i="17"/>
  <c r="V81" i="17"/>
  <c r="V82" i="17"/>
  <c r="W87" i="17" s="1"/>
  <c r="V83" i="17"/>
  <c r="V84" i="17"/>
  <c r="V85" i="17"/>
  <c r="V86" i="17"/>
  <c r="V87" i="17"/>
  <c r="V88" i="17"/>
  <c r="V89" i="17"/>
  <c r="V90" i="17"/>
  <c r="V91" i="17"/>
  <c r="V92" i="17"/>
  <c r="V93" i="17"/>
  <c r="V94" i="17"/>
  <c r="W99" i="17" s="1"/>
  <c r="V95" i="17"/>
  <c r="V96" i="17"/>
  <c r="V97" i="17"/>
  <c r="V98" i="17"/>
  <c r="V99" i="17"/>
  <c r="V100" i="17"/>
  <c r="V101" i="17"/>
  <c r="V102" i="17"/>
  <c r="V103" i="17"/>
  <c r="V104" i="17"/>
  <c r="V105" i="17"/>
  <c r="V106" i="17"/>
  <c r="W111" i="17" s="1"/>
  <c r="V107" i="17"/>
  <c r="V108" i="17"/>
  <c r="V109" i="17"/>
  <c r="V110" i="17"/>
  <c r="V111" i="17"/>
  <c r="V112" i="17"/>
  <c r="V113" i="17"/>
  <c r="V114" i="17"/>
  <c r="V115" i="17"/>
  <c r="V116" i="17"/>
  <c r="V117" i="17"/>
  <c r="V118" i="17"/>
  <c r="W123" i="17" s="1"/>
  <c r="V119" i="17"/>
  <c r="V120" i="17"/>
  <c r="V121" i="17"/>
  <c r="V122" i="17"/>
  <c r="V123" i="17"/>
  <c r="J70" i="17"/>
  <c r="K70" i="17"/>
  <c r="J71" i="17"/>
  <c r="K71" i="17"/>
  <c r="J72" i="17"/>
  <c r="K72" i="17"/>
  <c r="J73" i="17"/>
  <c r="K73" i="17"/>
  <c r="J74" i="17"/>
  <c r="K74" i="17"/>
  <c r="J75" i="17"/>
  <c r="K75" i="17"/>
  <c r="J76" i="17"/>
  <c r="K76" i="17"/>
  <c r="J77" i="17"/>
  <c r="K77" i="17"/>
  <c r="J78" i="17"/>
  <c r="K78" i="17"/>
  <c r="J79" i="17"/>
  <c r="K79" i="17"/>
  <c r="J80" i="17"/>
  <c r="K80" i="17"/>
  <c r="J81" i="17"/>
  <c r="K81" i="17"/>
  <c r="J82" i="17"/>
  <c r="K82" i="17"/>
  <c r="J83" i="17"/>
  <c r="K83" i="17"/>
  <c r="J84" i="17"/>
  <c r="K84" i="17"/>
  <c r="J85" i="17"/>
  <c r="K85" i="17"/>
  <c r="J86" i="17"/>
  <c r="K86" i="17"/>
  <c r="J87" i="17"/>
  <c r="K87" i="17"/>
  <c r="J88" i="17"/>
  <c r="K88" i="17"/>
  <c r="J89" i="17"/>
  <c r="K89" i="17"/>
  <c r="J90" i="17"/>
  <c r="K90" i="17"/>
  <c r="J91" i="17"/>
  <c r="K91" i="17"/>
  <c r="J92" i="17"/>
  <c r="K92" i="17"/>
  <c r="J93" i="17"/>
  <c r="K93" i="17"/>
  <c r="J94" i="17"/>
  <c r="K94" i="17"/>
  <c r="J95" i="17"/>
  <c r="K95" i="17"/>
  <c r="J96" i="17"/>
  <c r="K96" i="17"/>
  <c r="J97" i="17"/>
  <c r="K97" i="17"/>
  <c r="J98" i="17"/>
  <c r="K98" i="17"/>
  <c r="J99" i="17"/>
  <c r="K99" i="17"/>
  <c r="J100" i="17"/>
  <c r="K100" i="17"/>
  <c r="J101" i="17"/>
  <c r="K101" i="17"/>
  <c r="J102" i="17"/>
  <c r="K102" i="17"/>
  <c r="J103" i="17"/>
  <c r="K103" i="17"/>
  <c r="J104" i="17"/>
  <c r="K104" i="17"/>
  <c r="J105" i="17"/>
  <c r="K105" i="17"/>
  <c r="J106" i="17"/>
  <c r="K106" i="17"/>
  <c r="J107" i="17"/>
  <c r="K107" i="17"/>
  <c r="J108" i="17"/>
  <c r="K108" i="17"/>
  <c r="J109" i="17"/>
  <c r="K109" i="17"/>
  <c r="J110" i="17"/>
  <c r="K110" i="17"/>
  <c r="J111" i="17"/>
  <c r="K111" i="17"/>
  <c r="J112" i="17"/>
  <c r="K112" i="17"/>
  <c r="J113" i="17"/>
  <c r="K113" i="17"/>
  <c r="J114" i="17"/>
  <c r="K114" i="17"/>
  <c r="J115" i="17"/>
  <c r="K115" i="17"/>
  <c r="J116" i="17"/>
  <c r="K116" i="17"/>
  <c r="J117" i="17"/>
  <c r="K117" i="17"/>
  <c r="J118" i="17"/>
  <c r="K118" i="17"/>
  <c r="J119" i="17"/>
  <c r="K119" i="17"/>
  <c r="J120" i="17"/>
  <c r="K120" i="17"/>
  <c r="J121" i="17"/>
  <c r="K121" i="17"/>
  <c r="J122" i="17"/>
  <c r="K122" i="17"/>
  <c r="J123" i="17"/>
  <c r="K123" i="17"/>
  <c r="V69" i="17"/>
  <c r="K69" i="17"/>
  <c r="J69" i="17"/>
  <c r="V68" i="17"/>
  <c r="K68" i="17"/>
  <c r="J68" i="17"/>
  <c r="V67" i="17"/>
  <c r="K67" i="17"/>
  <c r="J67" i="17"/>
  <c r="V66" i="17"/>
  <c r="K66" i="17"/>
  <c r="J66" i="17"/>
  <c r="V65" i="17"/>
  <c r="K65" i="17"/>
  <c r="J65" i="17"/>
  <c r="V64" i="17"/>
  <c r="K64" i="17"/>
  <c r="J64" i="17"/>
  <c r="V63" i="17"/>
  <c r="K63" i="17"/>
  <c r="J63" i="17"/>
  <c r="V62" i="17"/>
  <c r="K62" i="17"/>
  <c r="J62" i="17"/>
  <c r="V61" i="17"/>
  <c r="K61" i="17"/>
  <c r="J61" i="17"/>
  <c r="V60" i="17"/>
  <c r="K60" i="17"/>
  <c r="J60" i="17"/>
  <c r="V59" i="17"/>
  <c r="K59" i="17"/>
  <c r="J59" i="17"/>
  <c r="V58" i="17"/>
  <c r="K58" i="17"/>
  <c r="J58" i="17"/>
  <c r="V57" i="17"/>
  <c r="K57" i="17"/>
  <c r="J57" i="17"/>
  <c r="V56" i="17"/>
  <c r="K56" i="17"/>
  <c r="J56" i="17"/>
  <c r="V55" i="17"/>
  <c r="K55" i="17"/>
  <c r="J55" i="17"/>
  <c r="V54" i="17"/>
  <c r="K54" i="17"/>
  <c r="J54" i="17"/>
  <c r="V53" i="17"/>
  <c r="K53" i="17"/>
  <c r="J53" i="17"/>
  <c r="V52" i="17"/>
  <c r="K52" i="17"/>
  <c r="J52" i="17"/>
  <c r="V51" i="17"/>
  <c r="K51" i="17"/>
  <c r="J51" i="17"/>
  <c r="V50" i="17"/>
  <c r="K50" i="17"/>
  <c r="J50" i="17"/>
  <c r="V49" i="17"/>
  <c r="K49" i="17"/>
  <c r="J49" i="17"/>
  <c r="V48" i="17"/>
  <c r="K48" i="17"/>
  <c r="J48" i="17"/>
  <c r="V47" i="17"/>
  <c r="K47" i="17"/>
  <c r="J47" i="17"/>
  <c r="V46" i="17"/>
  <c r="K46" i="17"/>
  <c r="J46" i="17"/>
  <c r="V45" i="17"/>
  <c r="K45" i="17"/>
  <c r="J45" i="17"/>
  <c r="V44" i="17"/>
  <c r="K44" i="17"/>
  <c r="J44" i="17"/>
  <c r="V43" i="17"/>
  <c r="K43" i="17"/>
  <c r="J43" i="17"/>
  <c r="V42" i="17"/>
  <c r="K42" i="17"/>
  <c r="J42" i="17"/>
  <c r="V41" i="17"/>
  <c r="K41" i="17"/>
  <c r="J41" i="17"/>
  <c r="V40" i="17"/>
  <c r="K40" i="17"/>
  <c r="J40" i="17"/>
  <c r="V39" i="17"/>
  <c r="K39" i="17"/>
  <c r="J39" i="17"/>
  <c r="V38" i="17"/>
  <c r="K38" i="17"/>
  <c r="J38" i="17"/>
  <c r="V37" i="17"/>
  <c r="K37" i="17"/>
  <c r="J37" i="17"/>
  <c r="V36" i="17"/>
  <c r="K36" i="17"/>
  <c r="J36" i="17"/>
  <c r="V35" i="17"/>
  <c r="K35" i="17"/>
  <c r="J35" i="17"/>
  <c r="V34" i="17"/>
  <c r="K34" i="17"/>
  <c r="J34" i="17"/>
  <c r="V33" i="17"/>
  <c r="K33" i="17"/>
  <c r="J33" i="17"/>
  <c r="V32" i="17"/>
  <c r="K32" i="17"/>
  <c r="J32" i="17"/>
  <c r="V31" i="17"/>
  <c r="K31" i="17"/>
  <c r="J31" i="17"/>
  <c r="V30" i="17"/>
  <c r="K30" i="17"/>
  <c r="J30" i="17"/>
  <c r="V29" i="17"/>
  <c r="K29" i="17"/>
  <c r="J29" i="17"/>
  <c r="V28" i="17"/>
  <c r="K28" i="17"/>
  <c r="J28" i="17"/>
  <c r="V27" i="17"/>
  <c r="K27" i="17"/>
  <c r="J27" i="17"/>
  <c r="V26" i="17"/>
  <c r="K26" i="17"/>
  <c r="J26" i="17"/>
  <c r="V25" i="17"/>
  <c r="K25" i="17"/>
  <c r="J25" i="17"/>
  <c r="V24" i="17"/>
  <c r="K24" i="17"/>
  <c r="J24" i="17"/>
  <c r="V23" i="17"/>
  <c r="K23" i="17"/>
  <c r="J23" i="17"/>
  <c r="V22" i="17"/>
  <c r="K22" i="17"/>
  <c r="J22" i="17"/>
  <c r="V21" i="17"/>
  <c r="K21" i="17"/>
  <c r="J21" i="17"/>
  <c r="V20" i="17"/>
  <c r="K20" i="17"/>
  <c r="J20" i="17"/>
  <c r="V19" i="17"/>
  <c r="K19" i="17"/>
  <c r="J19" i="17"/>
  <c r="V18" i="17"/>
  <c r="K18" i="17"/>
  <c r="J18" i="17"/>
  <c r="V17" i="17"/>
  <c r="K17" i="17"/>
  <c r="J17" i="17"/>
  <c r="V16" i="17"/>
  <c r="K16" i="17"/>
  <c r="J16" i="17"/>
  <c r="V15" i="17"/>
  <c r="K15" i="17"/>
  <c r="J15" i="17"/>
  <c r="V14" i="17"/>
  <c r="K14" i="17"/>
  <c r="J14" i="17"/>
  <c r="V13" i="17"/>
  <c r="K13" i="17"/>
  <c r="J13" i="17"/>
  <c r="V12" i="17"/>
  <c r="K12" i="17"/>
  <c r="J12" i="17"/>
  <c r="V11" i="17"/>
  <c r="K11" i="17"/>
  <c r="J11" i="17"/>
  <c r="V10" i="17"/>
  <c r="K10" i="17"/>
  <c r="J10" i="17"/>
  <c r="V9" i="17"/>
  <c r="K9" i="17"/>
  <c r="J9" i="17"/>
  <c r="V8" i="17"/>
  <c r="K8" i="17"/>
  <c r="J8" i="17"/>
  <c r="V7" i="17"/>
  <c r="K7" i="17"/>
  <c r="J7" i="17"/>
  <c r="V6" i="17"/>
  <c r="K6" i="17"/>
  <c r="J6" i="17"/>
  <c r="V5" i="17"/>
  <c r="K5" i="17"/>
  <c r="J5" i="17"/>
  <c r="V4" i="17"/>
  <c r="K4" i="17"/>
  <c r="J4" i="17"/>
  <c r="W15" i="17" l="1"/>
  <c r="W39" i="17"/>
  <c r="W27" i="17"/>
  <c r="W135" i="17"/>
  <c r="W51" i="17"/>
  <c r="W75" i="17"/>
  <c r="W63" i="17"/>
</calcChain>
</file>

<file path=xl/sharedStrings.xml><?xml version="1.0" encoding="utf-8"?>
<sst xmlns="http://schemas.openxmlformats.org/spreadsheetml/2006/main" count="824" uniqueCount="45">
  <si>
    <t>Canberra</t>
  </si>
  <si>
    <t>DTW</t>
  </si>
  <si>
    <t>Jaccard</t>
  </si>
  <si>
    <t>Lorentzian</t>
  </si>
  <si>
    <t>How it should be</t>
  </si>
  <si>
    <t>83/83</t>
  </si>
  <si>
    <t>50/83</t>
  </si>
  <si>
    <t>17/83</t>
  </si>
  <si>
    <t>50/50</t>
  </si>
  <si>
    <t>17/50</t>
  </si>
  <si>
    <t>17/17</t>
  </si>
  <si>
    <t>Euclidian</t>
  </si>
  <si>
    <t>Wave_Hedges</t>
  </si>
  <si>
    <t>Diff/same ratio</t>
  </si>
  <si>
    <t>avg</t>
  </si>
  <si>
    <t>worst case</t>
  </si>
  <si>
    <t>Notes:</t>
  </si>
  <si>
    <t>Algorithms</t>
  </si>
  <si>
    <t>Options</t>
  </si>
  <si>
    <t>Mean</t>
  </si>
  <si>
    <t>Std</t>
  </si>
  <si>
    <t>Exceptions</t>
  </si>
  <si>
    <t>i.e, a distance between same mixtures is greater than a distance between diffferent mixtures</t>
  </si>
  <si>
    <t>Std/Mean</t>
  </si>
  <si>
    <t>Threshold</t>
  </si>
  <si>
    <t>Worst diff</t>
  </si>
  <si>
    <t>Success</t>
  </si>
  <si>
    <t>Cosine</t>
  </si>
  <si>
    <t>Manhattan</t>
  </si>
  <si>
    <t>Pearson</t>
  </si>
  <si>
    <t>Ruzicka</t>
  </si>
  <si>
    <t>Sorensen</t>
  </si>
  <si>
    <t>Amount, %, of cases when D(same) &gt; D(diff)</t>
  </si>
  <si>
    <t>-,-,-</t>
  </si>
  <si>
    <t>R,-,-</t>
  </si>
  <si>
    <t>-,L,-</t>
  </si>
  <si>
    <t>R,L,-</t>
  </si>
  <si>
    <t>-,M,-</t>
  </si>
  <si>
    <t>R,M,-</t>
  </si>
  <si>
    <t>-,-,C</t>
  </si>
  <si>
    <t>R,-,C</t>
  </si>
  <si>
    <t>-,L,C</t>
  </si>
  <si>
    <t>R,L,C</t>
  </si>
  <si>
    <t>-,M,C</t>
  </si>
  <si>
    <t>R,M,C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</si>
</sst>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05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339966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2" fontId="0" fillId="0" borderId="0" xfId="0" applyNumberFormat="1"/>
    <xf numFmtId="0" fontId="0" fillId="0" borderId="1" xfId="0" applyBorder="1"/>
    <xf numFmtId="0" fontId="1" fillId="0" borderId="0" xfId="0" applyFont="1"/>
    <xf numFmtId="164" fontId="0" fillId="0" borderId="0" xfId="0" applyNumberFormat="1"/>
    <xf numFmtId="0" fontId="0" fillId="0" borderId="0" xfId="0" quotePrefix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  <color rgb="FF339966"/>
      <color rgb="FFFF5050"/>
      <color rgb="FFFF7C80"/>
      <color rgb="FF00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F9DBA-CBA4-4CB9-8EC3-6EEA50EF8EEE}">
  <dimension ref="A1:AF135"/>
  <sheetViews>
    <sheetView tabSelected="1" workbookViewId="0"/>
  </sheetViews>
  <sheetFormatPr defaultRowHeight="15" x14ac:dyDescent="0.25"/>
  <cols>
    <col min="1" max="1" width="12.85546875" customWidth="1"/>
    <col min="26" max="26" width="9.5703125" customWidth="1"/>
  </cols>
  <sheetData>
    <row r="1" spans="1:32" ht="21" x14ac:dyDescent="0.35">
      <c r="A1" s="6" t="s">
        <v>19</v>
      </c>
      <c r="M1" s="6" t="s">
        <v>20</v>
      </c>
      <c r="X1" s="6" t="s">
        <v>21</v>
      </c>
    </row>
    <row r="2" spans="1:32" x14ac:dyDescent="0.25">
      <c r="A2" t="s">
        <v>4</v>
      </c>
      <c r="C2" s="3"/>
      <c r="D2" s="2"/>
      <c r="E2" s="1"/>
      <c r="F2" s="3"/>
      <c r="G2" s="2"/>
      <c r="H2" s="3"/>
      <c r="J2" s="9" t="s">
        <v>13</v>
      </c>
      <c r="K2" s="9"/>
      <c r="X2" t="s">
        <v>22</v>
      </c>
      <c r="AE2" t="s">
        <v>16</v>
      </c>
    </row>
    <row r="3" spans="1:32" x14ac:dyDescent="0.25">
      <c r="A3" s="5" t="s">
        <v>17</v>
      </c>
      <c r="B3" s="5" t="s">
        <v>18</v>
      </c>
      <c r="C3" s="5" t="s">
        <v>5</v>
      </c>
      <c r="D3" s="5" t="s">
        <v>6</v>
      </c>
      <c r="E3" s="5" t="s">
        <v>7</v>
      </c>
      <c r="F3" s="5" t="s">
        <v>8</v>
      </c>
      <c r="G3" s="5" t="s">
        <v>9</v>
      </c>
      <c r="H3" s="5" t="s">
        <v>10</v>
      </c>
      <c r="I3" s="5"/>
      <c r="J3" s="5" t="s">
        <v>14</v>
      </c>
      <c r="K3" s="5" t="s">
        <v>15</v>
      </c>
      <c r="M3" s="5" t="s">
        <v>17</v>
      </c>
      <c r="N3" s="5" t="s">
        <v>18</v>
      </c>
      <c r="O3" s="5" t="s">
        <v>5</v>
      </c>
      <c r="P3" s="5" t="s">
        <v>6</v>
      </c>
      <c r="Q3" s="5" t="s">
        <v>7</v>
      </c>
      <c r="R3" s="5" t="s">
        <v>8</v>
      </c>
      <c r="S3" s="5" t="s">
        <v>9</v>
      </c>
      <c r="T3" s="5" t="s">
        <v>10</v>
      </c>
      <c r="U3" s="5"/>
      <c r="V3" s="5" t="s">
        <v>23</v>
      </c>
      <c r="X3" s="5" t="s">
        <v>17</v>
      </c>
      <c r="Y3" s="5" t="s">
        <v>18</v>
      </c>
      <c r="Z3" s="5" t="s">
        <v>32</v>
      </c>
      <c r="AA3" s="5" t="s">
        <v>25</v>
      </c>
      <c r="AB3" s="5" t="s">
        <v>24</v>
      </c>
      <c r="AC3" s="5" t="s">
        <v>26</v>
      </c>
      <c r="AE3" s="8"/>
    </row>
    <row r="4" spans="1:32" x14ac:dyDescent="0.25">
      <c r="A4" t="s">
        <v>0</v>
      </c>
      <c r="B4" t="s">
        <v>33</v>
      </c>
      <c r="C4">
        <v>2.0080000000000001E-2</v>
      </c>
      <c r="D4">
        <v>3.2410000000000001E-2</v>
      </c>
      <c r="E4">
        <v>4.4740000000000002E-2</v>
      </c>
      <c r="F4">
        <v>1.115E-2</v>
      </c>
      <c r="G4">
        <v>2.1690000000000001E-2</v>
      </c>
      <c r="H4">
        <v>9.5300000000000003E-3</v>
      </c>
      <c r="J4" s="4">
        <f>AVERAGE(D4,E4,G4)/AVERAGE(C4,F4,H4)</f>
        <v>2.4249263984298328</v>
      </c>
      <c r="K4" s="4">
        <f>MIN(D4,E4,G4)/MAX(C4,F4,H4)</f>
        <v>1.0801792828685259</v>
      </c>
      <c r="M4" t="s">
        <v>0</v>
      </c>
      <c r="N4" t="s">
        <v>33</v>
      </c>
      <c r="O4">
        <v>6.45E-3</v>
      </c>
      <c r="P4">
        <v>6.6899999999999998E-3</v>
      </c>
      <c r="Q4">
        <v>5.6100000000000004E-3</v>
      </c>
      <c r="R4">
        <v>2.5200000000000001E-3</v>
      </c>
      <c r="S4">
        <v>3.15E-3</v>
      </c>
      <c r="T4">
        <v>1.3799999999999999E-3</v>
      </c>
      <c r="V4" s="7">
        <f>AVERAGE(O4:T4)/AVERAGE(C4:H4)</f>
        <v>0.18481375358166185</v>
      </c>
      <c r="X4" t="s">
        <v>0</v>
      </c>
      <c r="Y4" t="s">
        <v>33</v>
      </c>
      <c r="Z4">
        <v>5.82</v>
      </c>
      <c r="AA4">
        <v>-1.7010000000000001E-2</v>
      </c>
      <c r="AB4">
        <v>1.9259999999999999E-2</v>
      </c>
      <c r="AC4" s="7">
        <v>0.88888999999999996</v>
      </c>
      <c r="AE4" s="8"/>
    </row>
    <row r="5" spans="1:32" x14ac:dyDescent="0.25">
      <c r="A5" t="s">
        <v>0</v>
      </c>
      <c r="B5" t="s">
        <v>34</v>
      </c>
      <c r="C5">
        <v>0.30790000000000001</v>
      </c>
      <c r="D5">
        <v>0.47852</v>
      </c>
      <c r="E5">
        <v>0.59972999999999999</v>
      </c>
      <c r="F5">
        <v>0.24404999999999999</v>
      </c>
      <c r="G5">
        <v>0.39023999999999998</v>
      </c>
      <c r="H5">
        <v>0.22037000000000001</v>
      </c>
      <c r="J5" s="4">
        <f t="shared" ref="J5:J68" si="0">AVERAGE(D5,E5,G5)/AVERAGE(C5,F5,H5)</f>
        <v>1.9014009736896627</v>
      </c>
      <c r="K5" s="4">
        <f t="shared" ref="K5:K68" si="1">MIN(D5,E5,G5)/MAX(C5,F5,H5)</f>
        <v>1.2674244884702826</v>
      </c>
      <c r="M5" t="s">
        <v>0</v>
      </c>
      <c r="N5" t="s">
        <v>34</v>
      </c>
      <c r="O5">
        <v>9.4270000000000007E-2</v>
      </c>
      <c r="P5">
        <v>6.8360000000000004E-2</v>
      </c>
      <c r="Q5">
        <v>4.079E-2</v>
      </c>
      <c r="R5">
        <v>6.0970000000000003E-2</v>
      </c>
      <c r="S5">
        <v>6.1310000000000003E-2</v>
      </c>
      <c r="T5">
        <v>2.6929999999999999E-2</v>
      </c>
      <c r="V5" s="7">
        <f t="shared" ref="V5:V68" si="2">AVERAGE(O5:T5)/AVERAGE(C5:H5)</f>
        <v>0.15736720203854856</v>
      </c>
      <c r="X5" t="s">
        <v>0</v>
      </c>
      <c r="Y5" t="s">
        <v>34</v>
      </c>
      <c r="Z5">
        <v>4.03</v>
      </c>
      <c r="AA5">
        <v>-0.19142999999999999</v>
      </c>
      <c r="AB5">
        <v>0.34133999999999998</v>
      </c>
      <c r="AC5" s="7">
        <v>0.91503000000000001</v>
      </c>
      <c r="AE5" s="8"/>
    </row>
    <row r="6" spans="1:32" x14ac:dyDescent="0.25">
      <c r="A6" t="s">
        <v>0</v>
      </c>
      <c r="B6" t="s">
        <v>35</v>
      </c>
      <c r="C6">
        <v>1.984E-2</v>
      </c>
      <c r="D6">
        <v>5.2470000000000003E-2</v>
      </c>
      <c r="E6">
        <v>6.8330000000000002E-2</v>
      </c>
      <c r="F6">
        <v>1.312E-2</v>
      </c>
      <c r="G6">
        <v>2.3560000000000001E-2</v>
      </c>
      <c r="H6">
        <v>1.0659999999999999E-2</v>
      </c>
      <c r="J6" s="4">
        <f t="shared" si="0"/>
        <v>3.30949105914718</v>
      </c>
      <c r="K6" s="4">
        <f t="shared" si="1"/>
        <v>1.1875</v>
      </c>
      <c r="M6" t="s">
        <v>0</v>
      </c>
      <c r="N6" t="s">
        <v>35</v>
      </c>
      <c r="O6">
        <v>5.4999999999999997E-3</v>
      </c>
      <c r="P6">
        <v>6.6400000000000001E-3</v>
      </c>
      <c r="Q6">
        <v>5.8100000000000001E-3</v>
      </c>
      <c r="R6">
        <v>2.5500000000000002E-3</v>
      </c>
      <c r="S6">
        <v>3.5999999999999999E-3</v>
      </c>
      <c r="T6">
        <v>1.49E-3</v>
      </c>
      <c r="V6" s="7">
        <f t="shared" si="2"/>
        <v>0.13613150335142041</v>
      </c>
      <c r="X6" t="s">
        <v>0</v>
      </c>
      <c r="Y6" t="s">
        <v>35</v>
      </c>
      <c r="Z6">
        <v>3.31</v>
      </c>
      <c r="AA6">
        <v>-1.2330000000000001E-2</v>
      </c>
      <c r="AB6">
        <v>2.036E-2</v>
      </c>
      <c r="AC6" s="7">
        <v>0.90849999999999997</v>
      </c>
      <c r="AF6" s="8"/>
    </row>
    <row r="7" spans="1:32" x14ac:dyDescent="0.25">
      <c r="A7" t="s">
        <v>0</v>
      </c>
      <c r="B7" t="s">
        <v>36</v>
      </c>
      <c r="C7">
        <v>0.30681999999999998</v>
      </c>
      <c r="D7">
        <v>0.47036</v>
      </c>
      <c r="E7">
        <v>0.59174000000000004</v>
      </c>
      <c r="F7">
        <v>0.24396999999999999</v>
      </c>
      <c r="G7">
        <v>0.38932</v>
      </c>
      <c r="H7">
        <v>0.22058</v>
      </c>
      <c r="J7" s="4">
        <f t="shared" si="0"/>
        <v>1.8816132335973661</v>
      </c>
      <c r="K7" s="4">
        <f t="shared" si="1"/>
        <v>1.2688872954826935</v>
      </c>
      <c r="M7" t="s">
        <v>0</v>
      </c>
      <c r="N7" t="s">
        <v>36</v>
      </c>
      <c r="O7">
        <v>9.3420000000000003E-2</v>
      </c>
      <c r="P7">
        <v>6.7559999999999995E-2</v>
      </c>
      <c r="Q7">
        <v>4.2009999999999999E-2</v>
      </c>
      <c r="R7">
        <v>6.0859999999999997E-2</v>
      </c>
      <c r="S7">
        <v>6.1330000000000003E-2</v>
      </c>
      <c r="T7">
        <v>2.6800000000000001E-2</v>
      </c>
      <c r="V7" s="7">
        <f t="shared" si="2"/>
        <v>0.15835054143666294</v>
      </c>
      <c r="X7" t="s">
        <v>0</v>
      </c>
      <c r="Y7" t="s">
        <v>36</v>
      </c>
      <c r="Z7">
        <v>4.12</v>
      </c>
      <c r="AA7">
        <v>-0.18925</v>
      </c>
      <c r="AB7">
        <v>0.34116000000000002</v>
      </c>
      <c r="AC7" s="7">
        <v>0.90849999999999997</v>
      </c>
      <c r="AF7" s="8"/>
    </row>
    <row r="8" spans="1:32" x14ac:dyDescent="0.25">
      <c r="A8" t="s">
        <v>0</v>
      </c>
      <c r="B8" t="s">
        <v>37</v>
      </c>
      <c r="C8">
        <v>8.3960000000000007E-2</v>
      </c>
      <c r="D8">
        <v>0.12134</v>
      </c>
      <c r="E8">
        <v>0.26916000000000001</v>
      </c>
      <c r="F8">
        <v>5.4579999999999997E-2</v>
      </c>
      <c r="G8">
        <v>0.16597999999999999</v>
      </c>
      <c r="H8">
        <v>8.0869999999999997E-2</v>
      </c>
      <c r="J8" s="4">
        <f t="shared" si="0"/>
        <v>2.5362563237774025</v>
      </c>
      <c r="K8" s="4">
        <f t="shared" si="1"/>
        <v>1.4452120057170079</v>
      </c>
      <c r="M8" t="s">
        <v>0</v>
      </c>
      <c r="N8" t="s">
        <v>37</v>
      </c>
      <c r="O8">
        <v>4.2799999999999998E-2</v>
      </c>
      <c r="P8">
        <v>5.1279999999999999E-2</v>
      </c>
      <c r="Q8">
        <v>6.3829999999999998E-2</v>
      </c>
      <c r="R8">
        <v>1.529E-2</v>
      </c>
      <c r="S8">
        <v>5.5640000000000002E-2</v>
      </c>
      <c r="T8">
        <v>3.1629999999999998E-2</v>
      </c>
      <c r="V8" s="7">
        <f t="shared" si="2"/>
        <v>0.33570480351596232</v>
      </c>
      <c r="X8" t="s">
        <v>0</v>
      </c>
      <c r="Y8" t="s">
        <v>37</v>
      </c>
      <c r="Z8">
        <v>8.52</v>
      </c>
      <c r="AA8">
        <v>-0.10079</v>
      </c>
      <c r="AB8">
        <v>8.387E-2</v>
      </c>
      <c r="AC8" s="7">
        <v>0.85621000000000003</v>
      </c>
    </row>
    <row r="9" spans="1:32" x14ac:dyDescent="0.25">
      <c r="A9" t="s">
        <v>0</v>
      </c>
      <c r="B9" t="s">
        <v>38</v>
      </c>
      <c r="C9">
        <v>9.0990000000000001E-2</v>
      </c>
      <c r="D9">
        <v>0.1391</v>
      </c>
      <c r="E9">
        <v>0.32949000000000001</v>
      </c>
      <c r="F9">
        <v>5.5109999999999999E-2</v>
      </c>
      <c r="G9">
        <v>0.21051</v>
      </c>
      <c r="H9">
        <v>9.7430000000000003E-2</v>
      </c>
      <c r="J9" s="4">
        <f t="shared" si="0"/>
        <v>2.7885681435552088</v>
      </c>
      <c r="K9" s="4">
        <f t="shared" si="1"/>
        <v>1.4276916760751308</v>
      </c>
      <c r="L9" s="4"/>
      <c r="M9" t="s">
        <v>0</v>
      </c>
      <c r="N9" t="s">
        <v>38</v>
      </c>
      <c r="O9">
        <v>5.7459999999999997E-2</v>
      </c>
      <c r="P9">
        <v>6.3880000000000006E-2</v>
      </c>
      <c r="Q9">
        <v>7.8789999999999999E-2</v>
      </c>
      <c r="R9">
        <v>2.4920000000000001E-2</v>
      </c>
      <c r="S9">
        <v>7.4289999999999995E-2</v>
      </c>
      <c r="T9">
        <v>5.5870000000000003E-2</v>
      </c>
      <c r="V9" s="7">
        <f t="shared" si="2"/>
        <v>0.38499723616184173</v>
      </c>
      <c r="X9" t="s">
        <v>0</v>
      </c>
      <c r="Y9" t="s">
        <v>38</v>
      </c>
      <c r="Z9">
        <v>10.210000000000001</v>
      </c>
      <c r="AA9">
        <v>-0.14459</v>
      </c>
      <c r="AB9">
        <v>0.10120999999999999</v>
      </c>
      <c r="AC9" s="7">
        <v>0.83006999999999997</v>
      </c>
    </row>
    <row r="10" spans="1:32" x14ac:dyDescent="0.25">
      <c r="A10" t="s">
        <v>0</v>
      </c>
      <c r="B10" t="s">
        <v>39</v>
      </c>
      <c r="C10">
        <v>3.7429999999999998E-2</v>
      </c>
      <c r="D10">
        <v>6.9349999999999995E-2</v>
      </c>
      <c r="E10">
        <v>0.10047</v>
      </c>
      <c r="F10">
        <v>1.6760000000000001E-2</v>
      </c>
      <c r="G10">
        <v>4.367E-2</v>
      </c>
      <c r="H10">
        <v>1.2800000000000001E-2</v>
      </c>
      <c r="J10" s="4">
        <f t="shared" si="0"/>
        <v>3.1868935662039108</v>
      </c>
      <c r="K10" s="4">
        <f t="shared" si="1"/>
        <v>1.1667111942292279</v>
      </c>
      <c r="M10" t="s">
        <v>0</v>
      </c>
      <c r="N10" t="s">
        <v>39</v>
      </c>
      <c r="O10">
        <v>1.456E-2</v>
      </c>
      <c r="P10">
        <v>1.555E-2</v>
      </c>
      <c r="Q10">
        <v>1.2829999999999999E-2</v>
      </c>
      <c r="R10">
        <v>6.2199999999999998E-3</v>
      </c>
      <c r="S10">
        <v>7.8200000000000006E-3</v>
      </c>
      <c r="T10">
        <v>3.4399999999999999E-3</v>
      </c>
      <c r="V10" s="7">
        <f t="shared" si="2"/>
        <v>0.21541642897889335</v>
      </c>
      <c r="X10" t="s">
        <v>0</v>
      </c>
      <c r="Y10" t="s">
        <v>39</v>
      </c>
      <c r="Z10">
        <v>5.04</v>
      </c>
      <c r="AA10">
        <v>-3.5659999999999997E-2</v>
      </c>
      <c r="AB10">
        <v>3.7789999999999997E-2</v>
      </c>
      <c r="AC10" s="7">
        <v>0.89541999999999999</v>
      </c>
    </row>
    <row r="11" spans="1:32" x14ac:dyDescent="0.25">
      <c r="A11" t="s">
        <v>0</v>
      </c>
      <c r="B11" t="s">
        <v>40</v>
      </c>
      <c r="C11">
        <v>0.25084000000000001</v>
      </c>
      <c r="D11">
        <v>0.44224999999999998</v>
      </c>
      <c r="E11">
        <v>0.57035999999999998</v>
      </c>
      <c r="F11">
        <v>0.14877000000000001</v>
      </c>
      <c r="G11">
        <v>0.34046999999999999</v>
      </c>
      <c r="H11">
        <v>0.1048</v>
      </c>
      <c r="J11" s="4">
        <f t="shared" si="0"/>
        <v>2.6825003469399893</v>
      </c>
      <c r="K11" s="4">
        <f t="shared" si="1"/>
        <v>1.3573194067931749</v>
      </c>
      <c r="M11" t="s">
        <v>0</v>
      </c>
      <c r="N11" t="s">
        <v>40</v>
      </c>
      <c r="O11">
        <v>7.8780000000000003E-2</v>
      </c>
      <c r="P11">
        <v>5.5230000000000001E-2</v>
      </c>
      <c r="Q11">
        <v>3.3009999999999998E-2</v>
      </c>
      <c r="R11">
        <v>5.7119999999999997E-2</v>
      </c>
      <c r="S11">
        <v>4.7169999999999997E-2</v>
      </c>
      <c r="T11">
        <v>3.5279999999999999E-2</v>
      </c>
      <c r="V11" s="7">
        <f t="shared" si="2"/>
        <v>0.16505607028839991</v>
      </c>
      <c r="X11" t="s">
        <v>0</v>
      </c>
      <c r="Y11" t="s">
        <v>40</v>
      </c>
      <c r="Z11">
        <v>1.98</v>
      </c>
      <c r="AA11">
        <v>-0.14168</v>
      </c>
      <c r="AB11">
        <v>0.29886000000000001</v>
      </c>
      <c r="AC11" s="7">
        <v>0.94771000000000005</v>
      </c>
    </row>
    <row r="12" spans="1:32" x14ac:dyDescent="0.25">
      <c r="A12" t="s">
        <v>0</v>
      </c>
      <c r="B12" t="s">
        <v>41</v>
      </c>
      <c r="C12">
        <v>3.6580000000000001E-2</v>
      </c>
      <c r="D12">
        <v>7.6139999999999999E-2</v>
      </c>
      <c r="E12">
        <v>0.10752</v>
      </c>
      <c r="F12">
        <v>1.8120000000000001E-2</v>
      </c>
      <c r="G12">
        <v>4.4220000000000002E-2</v>
      </c>
      <c r="H12">
        <v>1.3780000000000001E-2</v>
      </c>
      <c r="J12" s="4">
        <f t="shared" si="0"/>
        <v>3.3276869158878508</v>
      </c>
      <c r="K12" s="4">
        <f t="shared" si="1"/>
        <v>1.2088572990705304</v>
      </c>
      <c r="M12" t="s">
        <v>0</v>
      </c>
      <c r="N12" t="s">
        <v>41</v>
      </c>
      <c r="O12">
        <v>1.336E-2</v>
      </c>
      <c r="P12">
        <v>1.172E-2</v>
      </c>
      <c r="Q12">
        <v>1.0449999999999999E-2</v>
      </c>
      <c r="R12">
        <v>5.62E-3</v>
      </c>
      <c r="S12">
        <v>7.3800000000000003E-3</v>
      </c>
      <c r="T12">
        <v>3.2100000000000002E-3</v>
      </c>
      <c r="V12" s="7">
        <f t="shared" si="2"/>
        <v>0.17458496423268993</v>
      </c>
      <c r="X12" t="s">
        <v>0</v>
      </c>
      <c r="Y12" t="s">
        <v>41</v>
      </c>
      <c r="Z12">
        <v>3.7</v>
      </c>
      <c r="AA12">
        <v>-3.0779999999999998E-2</v>
      </c>
      <c r="AB12">
        <v>3.8199999999999998E-2</v>
      </c>
      <c r="AC12" s="7">
        <v>0.90849999999999997</v>
      </c>
    </row>
    <row r="13" spans="1:32" x14ac:dyDescent="0.25">
      <c r="A13" t="s">
        <v>0</v>
      </c>
      <c r="B13" t="s">
        <v>42</v>
      </c>
      <c r="C13">
        <v>0.25052000000000002</v>
      </c>
      <c r="D13">
        <v>0.43761</v>
      </c>
      <c r="E13">
        <v>0.56588000000000005</v>
      </c>
      <c r="F13">
        <v>0.14828</v>
      </c>
      <c r="G13">
        <v>0.34</v>
      </c>
      <c r="H13">
        <v>0.10493</v>
      </c>
      <c r="J13" s="4">
        <f t="shared" si="0"/>
        <v>2.6670835566672624</v>
      </c>
      <c r="K13" s="4">
        <f t="shared" si="1"/>
        <v>1.3571770716908829</v>
      </c>
      <c r="M13" t="s">
        <v>0</v>
      </c>
      <c r="N13" t="s">
        <v>42</v>
      </c>
      <c r="O13">
        <v>7.8750000000000001E-2</v>
      </c>
      <c r="P13">
        <v>5.6649999999999999E-2</v>
      </c>
      <c r="Q13">
        <v>3.4610000000000002E-2</v>
      </c>
      <c r="R13">
        <v>5.7430000000000002E-2</v>
      </c>
      <c r="S13">
        <v>4.734E-2</v>
      </c>
      <c r="T13">
        <v>3.5189999999999999E-2</v>
      </c>
      <c r="V13" s="7">
        <f t="shared" si="2"/>
        <v>0.16780351013956105</v>
      </c>
      <c r="X13" t="s">
        <v>0</v>
      </c>
      <c r="Y13" t="s">
        <v>42</v>
      </c>
      <c r="Z13">
        <v>2.02</v>
      </c>
      <c r="AA13">
        <v>-0.14199999999999999</v>
      </c>
      <c r="AB13">
        <v>0.29892999999999997</v>
      </c>
      <c r="AC13" s="7">
        <v>0.94771000000000005</v>
      </c>
    </row>
    <row r="14" spans="1:32" x14ac:dyDescent="0.25">
      <c r="A14" t="s">
        <v>0</v>
      </c>
      <c r="B14" t="s">
        <v>43</v>
      </c>
      <c r="C14">
        <v>9.4149999999999998E-2</v>
      </c>
      <c r="D14">
        <v>0.15736</v>
      </c>
      <c r="E14">
        <v>0.29006999999999999</v>
      </c>
      <c r="F14">
        <v>5.5289999999999999E-2</v>
      </c>
      <c r="G14">
        <v>0.16273000000000001</v>
      </c>
      <c r="H14">
        <v>6.7220000000000002E-2</v>
      </c>
      <c r="J14" s="4">
        <f t="shared" si="0"/>
        <v>2.81620972953014</v>
      </c>
      <c r="K14" s="4">
        <f t="shared" si="1"/>
        <v>1.6713754646840149</v>
      </c>
      <c r="M14" t="s">
        <v>0</v>
      </c>
      <c r="N14" t="s">
        <v>43</v>
      </c>
      <c r="O14">
        <v>3.3009999999999998E-2</v>
      </c>
      <c r="P14">
        <v>4.2000000000000003E-2</v>
      </c>
      <c r="Q14">
        <v>4.598E-2</v>
      </c>
      <c r="R14">
        <v>1.525E-2</v>
      </c>
      <c r="S14">
        <v>4.3560000000000001E-2</v>
      </c>
      <c r="T14">
        <v>2.444E-2</v>
      </c>
      <c r="V14" s="7">
        <f t="shared" si="2"/>
        <v>0.24701869814469898</v>
      </c>
      <c r="X14" t="s">
        <v>0</v>
      </c>
      <c r="Y14" t="s">
        <v>43</v>
      </c>
      <c r="Z14">
        <v>3.02</v>
      </c>
      <c r="AA14">
        <v>-7.7630000000000005E-2</v>
      </c>
      <c r="AB14">
        <v>0.10506</v>
      </c>
      <c r="AC14" s="7">
        <v>0.90849999999999997</v>
      </c>
    </row>
    <row r="15" spans="1:32" x14ac:dyDescent="0.25">
      <c r="A15" t="s">
        <v>0</v>
      </c>
      <c r="B15" t="s">
        <v>44</v>
      </c>
      <c r="C15">
        <v>0.57555999999999996</v>
      </c>
      <c r="D15">
        <v>0.51568000000000003</v>
      </c>
      <c r="E15">
        <v>0.67408999999999997</v>
      </c>
      <c r="F15">
        <v>0.16944999999999999</v>
      </c>
      <c r="G15">
        <v>0.49536000000000002</v>
      </c>
      <c r="H15">
        <v>0.45118000000000003</v>
      </c>
      <c r="J15" s="4">
        <f t="shared" si="0"/>
        <v>1.4087477741830312</v>
      </c>
      <c r="K15" s="4">
        <f t="shared" si="1"/>
        <v>0.8606574466606437</v>
      </c>
      <c r="L15" s="7"/>
      <c r="M15" t="s">
        <v>0</v>
      </c>
      <c r="N15" t="s">
        <v>44</v>
      </c>
      <c r="O15">
        <v>0.24797</v>
      </c>
      <c r="P15">
        <v>0.24997</v>
      </c>
      <c r="Q15">
        <v>0.14695</v>
      </c>
      <c r="R15">
        <v>9.8680000000000004E-2</v>
      </c>
      <c r="S15">
        <v>0.21909999999999999</v>
      </c>
      <c r="T15">
        <v>0.29402</v>
      </c>
      <c r="V15" s="7">
        <f t="shared" si="2"/>
        <v>0.43615079199811202</v>
      </c>
      <c r="W15" s="7">
        <f>AVERAGE(V10:V15)/AVERAGE(V4:V9)-1</f>
        <v>3.5852863643202726E-2</v>
      </c>
      <c r="X15" t="s">
        <v>0</v>
      </c>
      <c r="Y15" t="s">
        <v>44</v>
      </c>
      <c r="Z15">
        <v>29.61</v>
      </c>
      <c r="AA15">
        <v>-0.65110000000000001</v>
      </c>
      <c r="AB15">
        <v>0.31224000000000002</v>
      </c>
      <c r="AC15" s="7">
        <v>0.73855999999999999</v>
      </c>
      <c r="AD15" s="7"/>
    </row>
    <row r="16" spans="1:32" x14ac:dyDescent="0.25">
      <c r="A16" t="s">
        <v>27</v>
      </c>
      <c r="B16" t="s">
        <v>33</v>
      </c>
      <c r="C16">
        <v>2.5950000000000001E-2</v>
      </c>
      <c r="D16">
        <v>0.16693</v>
      </c>
      <c r="E16">
        <v>0.40732000000000002</v>
      </c>
      <c r="F16">
        <v>8.9200000000000008E-3</v>
      </c>
      <c r="G16">
        <v>9.3509999999999996E-2</v>
      </c>
      <c r="H16">
        <v>6.62E-3</v>
      </c>
      <c r="J16" s="4">
        <f t="shared" si="0"/>
        <v>16.094480597734396</v>
      </c>
      <c r="K16" s="4">
        <f t="shared" si="1"/>
        <v>3.6034682080924854</v>
      </c>
      <c r="M16" t="s">
        <v>27</v>
      </c>
      <c r="N16" t="s">
        <v>33</v>
      </c>
      <c r="O16">
        <v>1.413E-2</v>
      </c>
      <c r="P16">
        <v>5.7119999999999997E-2</v>
      </c>
      <c r="Q16">
        <v>7.5480000000000005E-2</v>
      </c>
      <c r="R16">
        <v>4.4200000000000003E-3</v>
      </c>
      <c r="S16">
        <v>2.5190000000000001E-2</v>
      </c>
      <c r="T16">
        <v>2.6199999999999999E-3</v>
      </c>
      <c r="V16" s="7">
        <f t="shared" si="2"/>
        <v>0.25232287627775818</v>
      </c>
      <c r="X16" t="s">
        <v>27</v>
      </c>
      <c r="Y16" t="s">
        <v>33</v>
      </c>
      <c r="Z16">
        <v>0.04</v>
      </c>
      <c r="AA16">
        <v>-1.1480000000000001E-2</v>
      </c>
      <c r="AB16">
        <v>4.6949999999999999E-2</v>
      </c>
      <c r="AC16" s="7">
        <v>0.98692999999999997</v>
      </c>
    </row>
    <row r="17" spans="1:30" x14ac:dyDescent="0.25">
      <c r="A17" t="s">
        <v>27</v>
      </c>
      <c r="B17" t="s">
        <v>34</v>
      </c>
      <c r="C17">
        <v>2.981E-2</v>
      </c>
      <c r="D17">
        <v>0.1928</v>
      </c>
      <c r="E17">
        <v>0.47253000000000001</v>
      </c>
      <c r="F17">
        <v>1.0370000000000001E-2</v>
      </c>
      <c r="G17">
        <v>0.10982</v>
      </c>
      <c r="H17">
        <v>7.7099999999999998E-3</v>
      </c>
      <c r="J17" s="4">
        <f t="shared" si="0"/>
        <v>16.186051367717688</v>
      </c>
      <c r="K17" s="4">
        <f t="shared" si="1"/>
        <v>3.6839986581684001</v>
      </c>
      <c r="M17" t="s">
        <v>27</v>
      </c>
      <c r="N17" t="s">
        <v>34</v>
      </c>
      <c r="O17">
        <v>1.6400000000000001E-2</v>
      </c>
      <c r="P17">
        <v>6.6269999999999996E-2</v>
      </c>
      <c r="Q17">
        <v>8.7120000000000003E-2</v>
      </c>
      <c r="R17">
        <v>5.1900000000000002E-3</v>
      </c>
      <c r="S17">
        <v>2.9649999999999999E-2</v>
      </c>
      <c r="T17">
        <v>3.0899999999999999E-3</v>
      </c>
      <c r="V17" s="7">
        <f t="shared" si="2"/>
        <v>0.25238141524105756</v>
      </c>
      <c r="X17" t="s">
        <v>27</v>
      </c>
      <c r="Y17" t="s">
        <v>34</v>
      </c>
      <c r="Z17">
        <v>0.04</v>
      </c>
      <c r="AA17">
        <v>-1.291E-2</v>
      </c>
      <c r="AB17">
        <v>5.4800000000000001E-2</v>
      </c>
      <c r="AC17" s="7">
        <v>0.98692999999999997</v>
      </c>
    </row>
    <row r="18" spans="1:30" x14ac:dyDescent="0.25">
      <c r="A18" t="s">
        <v>27</v>
      </c>
      <c r="B18" t="s">
        <v>35</v>
      </c>
      <c r="C18">
        <v>2.5950000000000001E-2</v>
      </c>
      <c r="D18">
        <v>0.16693</v>
      </c>
      <c r="E18">
        <v>0.40732000000000002</v>
      </c>
      <c r="F18">
        <v>8.9200000000000008E-3</v>
      </c>
      <c r="G18">
        <v>9.3509999999999996E-2</v>
      </c>
      <c r="H18">
        <v>6.62E-3</v>
      </c>
      <c r="J18" s="4">
        <f t="shared" si="0"/>
        <v>16.094480597734396</v>
      </c>
      <c r="K18" s="4">
        <f t="shared" si="1"/>
        <v>3.6034682080924854</v>
      </c>
      <c r="M18" t="s">
        <v>27</v>
      </c>
      <c r="N18" t="s">
        <v>35</v>
      </c>
      <c r="O18">
        <v>1.413E-2</v>
      </c>
      <c r="P18">
        <v>5.7119999999999997E-2</v>
      </c>
      <c r="Q18">
        <v>7.5480000000000005E-2</v>
      </c>
      <c r="R18">
        <v>4.4200000000000003E-3</v>
      </c>
      <c r="S18">
        <v>2.5190000000000001E-2</v>
      </c>
      <c r="T18">
        <v>2.6199999999999999E-3</v>
      </c>
      <c r="V18" s="7">
        <f t="shared" si="2"/>
        <v>0.25232287627775818</v>
      </c>
      <c r="X18" t="s">
        <v>27</v>
      </c>
      <c r="Y18" t="s">
        <v>35</v>
      </c>
      <c r="Z18">
        <v>0.04</v>
      </c>
      <c r="AA18">
        <v>-1.1480000000000001E-2</v>
      </c>
      <c r="AB18">
        <v>4.6949999999999999E-2</v>
      </c>
      <c r="AC18" s="7">
        <v>0.98692999999999997</v>
      </c>
    </row>
    <row r="19" spans="1:30" x14ac:dyDescent="0.25">
      <c r="A19" t="s">
        <v>27</v>
      </c>
      <c r="B19" t="s">
        <v>36</v>
      </c>
      <c r="C19">
        <v>2.981E-2</v>
      </c>
      <c r="D19">
        <v>0.1928</v>
      </c>
      <c r="E19">
        <v>0.47253000000000001</v>
      </c>
      <c r="F19">
        <v>1.0370000000000001E-2</v>
      </c>
      <c r="G19">
        <v>0.10982</v>
      </c>
      <c r="H19">
        <v>7.7099999999999998E-3</v>
      </c>
      <c r="J19" s="4">
        <f t="shared" si="0"/>
        <v>16.186051367717688</v>
      </c>
      <c r="K19" s="4">
        <f t="shared" si="1"/>
        <v>3.6839986581684001</v>
      </c>
      <c r="M19" t="s">
        <v>27</v>
      </c>
      <c r="N19" t="s">
        <v>36</v>
      </c>
      <c r="O19">
        <v>1.6400000000000001E-2</v>
      </c>
      <c r="P19">
        <v>6.6269999999999996E-2</v>
      </c>
      <c r="Q19">
        <v>8.7120000000000003E-2</v>
      </c>
      <c r="R19">
        <v>5.1900000000000002E-3</v>
      </c>
      <c r="S19">
        <v>2.9649999999999999E-2</v>
      </c>
      <c r="T19">
        <v>3.0899999999999999E-3</v>
      </c>
      <c r="V19" s="7">
        <f t="shared" si="2"/>
        <v>0.25238141524105756</v>
      </c>
      <c r="X19" t="s">
        <v>27</v>
      </c>
      <c r="Y19" t="s">
        <v>36</v>
      </c>
      <c r="Z19">
        <v>0.04</v>
      </c>
      <c r="AA19">
        <v>-1.291E-2</v>
      </c>
      <c r="AB19">
        <v>5.4800000000000001E-2</v>
      </c>
      <c r="AC19" s="7">
        <v>0.98692999999999997</v>
      </c>
    </row>
    <row r="20" spans="1:30" x14ac:dyDescent="0.25">
      <c r="A20" t="s">
        <v>27</v>
      </c>
      <c r="B20" t="s">
        <v>37</v>
      </c>
      <c r="C20">
        <v>2.955E-2</v>
      </c>
      <c r="D20">
        <v>0.18765000000000001</v>
      </c>
      <c r="E20">
        <v>0.46282000000000001</v>
      </c>
      <c r="F20">
        <v>1.026E-2</v>
      </c>
      <c r="G20">
        <v>0.10804</v>
      </c>
      <c r="H20">
        <v>7.8600000000000007E-3</v>
      </c>
      <c r="J20" s="4">
        <f t="shared" si="0"/>
        <v>15.911684497587583</v>
      </c>
      <c r="K20" s="4">
        <f t="shared" si="1"/>
        <v>3.6561759729272421</v>
      </c>
      <c r="M20" t="s">
        <v>27</v>
      </c>
      <c r="N20" t="s">
        <v>37</v>
      </c>
      <c r="O20">
        <v>1.528E-2</v>
      </c>
      <c r="P20">
        <v>6.4339999999999994E-2</v>
      </c>
      <c r="Q20">
        <v>8.5319999999999993E-2</v>
      </c>
      <c r="R20">
        <v>5.0000000000000001E-3</v>
      </c>
      <c r="S20">
        <v>2.9219999999999999E-2</v>
      </c>
      <c r="T20">
        <v>3.16E-3</v>
      </c>
      <c r="V20" s="7">
        <f t="shared" si="2"/>
        <v>0.25096132377384694</v>
      </c>
      <c r="X20" t="s">
        <v>27</v>
      </c>
      <c r="Y20" t="s">
        <v>37</v>
      </c>
      <c r="Z20">
        <v>0.04</v>
      </c>
      <c r="AA20">
        <v>-1.166E-2</v>
      </c>
      <c r="AB20">
        <v>5.3249999999999999E-2</v>
      </c>
      <c r="AC20" s="7">
        <v>0.98692999999999997</v>
      </c>
    </row>
    <row r="21" spans="1:30" x14ac:dyDescent="0.25">
      <c r="A21" t="s">
        <v>27</v>
      </c>
      <c r="B21" t="s">
        <v>38</v>
      </c>
      <c r="C21">
        <v>2.9770000000000001E-2</v>
      </c>
      <c r="D21">
        <v>0.18962000000000001</v>
      </c>
      <c r="E21">
        <v>0.4677</v>
      </c>
      <c r="F21">
        <v>1.0279999999999999E-2</v>
      </c>
      <c r="G21">
        <v>0.10914</v>
      </c>
      <c r="H21">
        <v>7.8600000000000007E-3</v>
      </c>
      <c r="J21" s="4">
        <f t="shared" si="0"/>
        <v>15.997912753078689</v>
      </c>
      <c r="K21" s="4">
        <f t="shared" si="1"/>
        <v>3.6661068189452468</v>
      </c>
      <c r="L21" s="4"/>
      <c r="M21" t="s">
        <v>27</v>
      </c>
      <c r="N21" t="s">
        <v>38</v>
      </c>
      <c r="O21">
        <v>1.538E-2</v>
      </c>
      <c r="P21">
        <v>6.5040000000000001E-2</v>
      </c>
      <c r="Q21">
        <v>8.6279999999999996E-2</v>
      </c>
      <c r="R21">
        <v>5.0400000000000002E-3</v>
      </c>
      <c r="S21">
        <v>2.9489999999999999E-2</v>
      </c>
      <c r="T21">
        <v>3.1800000000000001E-3</v>
      </c>
      <c r="V21" s="7">
        <f t="shared" si="2"/>
        <v>0.25100384346181714</v>
      </c>
      <c r="X21" t="s">
        <v>27</v>
      </c>
      <c r="Y21" t="s">
        <v>38</v>
      </c>
      <c r="Z21">
        <v>0.04</v>
      </c>
      <c r="AA21">
        <v>-1.1780000000000001E-2</v>
      </c>
      <c r="AB21">
        <v>5.3789999999999998E-2</v>
      </c>
      <c r="AC21" s="7">
        <v>0.98692999999999997</v>
      </c>
    </row>
    <row r="22" spans="1:30" x14ac:dyDescent="0.25">
      <c r="A22" t="s">
        <v>27</v>
      </c>
      <c r="B22" t="s">
        <v>39</v>
      </c>
      <c r="C22">
        <v>2.6429999999999999E-2</v>
      </c>
      <c r="D22">
        <v>0.17038</v>
      </c>
      <c r="E22">
        <v>0.41742000000000001</v>
      </c>
      <c r="F22">
        <v>9.1400000000000006E-3</v>
      </c>
      <c r="G22">
        <v>9.6460000000000004E-2</v>
      </c>
      <c r="H22">
        <v>6.7799999999999996E-3</v>
      </c>
      <c r="J22" s="4">
        <f t="shared" si="0"/>
        <v>16.157260920897283</v>
      </c>
      <c r="K22" s="4">
        <f t="shared" si="1"/>
        <v>3.6496405599697317</v>
      </c>
      <c r="M22" t="s">
        <v>27</v>
      </c>
      <c r="N22" t="s">
        <v>39</v>
      </c>
      <c r="O22">
        <v>1.4420000000000001E-2</v>
      </c>
      <c r="P22">
        <v>5.8259999999999999E-2</v>
      </c>
      <c r="Q22">
        <v>7.6929999999999998E-2</v>
      </c>
      <c r="R22">
        <v>4.5599999999999998E-3</v>
      </c>
      <c r="S22">
        <v>2.6020000000000001E-2</v>
      </c>
      <c r="T22">
        <v>2.7100000000000002E-3</v>
      </c>
      <c r="V22" s="7">
        <f t="shared" si="2"/>
        <v>0.25171687700417006</v>
      </c>
      <c r="X22" t="s">
        <v>27</v>
      </c>
      <c r="Y22" t="s">
        <v>39</v>
      </c>
      <c r="Z22">
        <v>0.04</v>
      </c>
      <c r="AA22">
        <v>-1.1180000000000001E-2</v>
      </c>
      <c r="AB22">
        <v>4.8149999999999998E-2</v>
      </c>
      <c r="AC22" s="7">
        <v>0.98692999999999997</v>
      </c>
    </row>
    <row r="23" spans="1:30" x14ac:dyDescent="0.25">
      <c r="A23" t="s">
        <v>27</v>
      </c>
      <c r="B23" t="s">
        <v>40</v>
      </c>
      <c r="C23">
        <v>2.954E-2</v>
      </c>
      <c r="D23">
        <v>0.19685</v>
      </c>
      <c r="E23">
        <v>0.48364000000000001</v>
      </c>
      <c r="F23">
        <v>1.061E-2</v>
      </c>
      <c r="G23">
        <v>0.11251</v>
      </c>
      <c r="H23">
        <v>7.8700000000000003E-3</v>
      </c>
      <c r="J23" s="4">
        <f t="shared" si="0"/>
        <v>16.513952519783427</v>
      </c>
      <c r="K23" s="4">
        <f t="shared" si="1"/>
        <v>3.8087339201083275</v>
      </c>
      <c r="M23" t="s">
        <v>27</v>
      </c>
      <c r="N23" t="s">
        <v>40</v>
      </c>
      <c r="O23">
        <v>1.5949999999999999E-2</v>
      </c>
      <c r="P23">
        <v>6.7599999999999993E-2</v>
      </c>
      <c r="Q23">
        <v>8.906E-2</v>
      </c>
      <c r="R23">
        <v>5.28E-3</v>
      </c>
      <c r="S23">
        <v>3.04E-2</v>
      </c>
      <c r="T23">
        <v>3.16E-3</v>
      </c>
      <c r="V23" s="7">
        <f t="shared" si="2"/>
        <v>0.25142089367672582</v>
      </c>
      <c r="X23" t="s">
        <v>27</v>
      </c>
      <c r="Y23" t="s">
        <v>40</v>
      </c>
      <c r="Z23">
        <v>0.02</v>
      </c>
      <c r="AA23">
        <v>-1.1390000000000001E-2</v>
      </c>
      <c r="AB23">
        <v>5.4940000000000003E-2</v>
      </c>
      <c r="AC23" s="7">
        <v>0.98692999999999997</v>
      </c>
    </row>
    <row r="24" spans="1:30" x14ac:dyDescent="0.25">
      <c r="A24" t="s">
        <v>27</v>
      </c>
      <c r="B24" t="s">
        <v>41</v>
      </c>
      <c r="C24">
        <v>2.6429999999999999E-2</v>
      </c>
      <c r="D24">
        <v>0.17038</v>
      </c>
      <c r="E24">
        <v>0.41742000000000001</v>
      </c>
      <c r="F24">
        <v>9.1400000000000006E-3</v>
      </c>
      <c r="G24">
        <v>9.6460000000000004E-2</v>
      </c>
      <c r="H24">
        <v>6.7799999999999996E-3</v>
      </c>
      <c r="J24" s="4">
        <f t="shared" si="0"/>
        <v>16.157260920897283</v>
      </c>
      <c r="K24" s="4">
        <f t="shared" si="1"/>
        <v>3.6496405599697317</v>
      </c>
      <c r="M24" t="s">
        <v>27</v>
      </c>
      <c r="N24" t="s">
        <v>41</v>
      </c>
      <c r="O24">
        <v>1.4420000000000001E-2</v>
      </c>
      <c r="P24">
        <v>5.8259999999999999E-2</v>
      </c>
      <c r="Q24">
        <v>7.6929999999999998E-2</v>
      </c>
      <c r="R24">
        <v>4.5599999999999998E-3</v>
      </c>
      <c r="S24">
        <v>2.6020000000000001E-2</v>
      </c>
      <c r="T24">
        <v>2.7100000000000002E-3</v>
      </c>
      <c r="V24" s="7">
        <f t="shared" si="2"/>
        <v>0.25171687700417006</v>
      </c>
      <c r="X24" t="s">
        <v>27</v>
      </c>
      <c r="Y24" t="s">
        <v>41</v>
      </c>
      <c r="Z24">
        <v>0.04</v>
      </c>
      <c r="AA24">
        <v>-1.1180000000000001E-2</v>
      </c>
      <c r="AB24">
        <v>4.8149999999999998E-2</v>
      </c>
      <c r="AC24" s="7">
        <v>0.98692999999999997</v>
      </c>
    </row>
    <row r="25" spans="1:30" x14ac:dyDescent="0.25">
      <c r="A25" t="s">
        <v>27</v>
      </c>
      <c r="B25" t="s">
        <v>42</v>
      </c>
      <c r="C25">
        <v>2.954E-2</v>
      </c>
      <c r="D25">
        <v>0.19685</v>
      </c>
      <c r="E25">
        <v>0.48364000000000001</v>
      </c>
      <c r="F25">
        <v>1.061E-2</v>
      </c>
      <c r="G25">
        <v>0.11251</v>
      </c>
      <c r="H25">
        <v>7.8700000000000003E-3</v>
      </c>
      <c r="J25" s="4">
        <f t="shared" si="0"/>
        <v>16.513952519783427</v>
      </c>
      <c r="K25" s="4">
        <f t="shared" si="1"/>
        <v>3.8087339201083275</v>
      </c>
      <c r="M25" t="s">
        <v>27</v>
      </c>
      <c r="N25" t="s">
        <v>42</v>
      </c>
      <c r="O25">
        <v>1.5949999999999999E-2</v>
      </c>
      <c r="P25">
        <v>6.7599999999999993E-2</v>
      </c>
      <c r="Q25">
        <v>8.906E-2</v>
      </c>
      <c r="R25">
        <v>5.28E-3</v>
      </c>
      <c r="S25">
        <v>3.04E-2</v>
      </c>
      <c r="T25">
        <v>3.16E-3</v>
      </c>
      <c r="V25" s="7">
        <f t="shared" si="2"/>
        <v>0.25142089367672582</v>
      </c>
      <c r="X25" t="s">
        <v>27</v>
      </c>
      <c r="Y25" t="s">
        <v>42</v>
      </c>
      <c r="Z25">
        <v>0.02</v>
      </c>
      <c r="AA25">
        <v>-1.1390000000000001E-2</v>
      </c>
      <c r="AB25">
        <v>5.4940000000000003E-2</v>
      </c>
      <c r="AC25" s="7">
        <v>0.98692999999999997</v>
      </c>
    </row>
    <row r="26" spans="1:30" x14ac:dyDescent="0.25">
      <c r="A26" t="s">
        <v>27</v>
      </c>
      <c r="B26" t="s">
        <v>43</v>
      </c>
      <c r="C26">
        <v>2.9059999999999999E-2</v>
      </c>
      <c r="D26">
        <v>0.18743000000000001</v>
      </c>
      <c r="E26">
        <v>0.46145999999999998</v>
      </c>
      <c r="F26">
        <v>1.013E-2</v>
      </c>
      <c r="G26">
        <v>0.10738</v>
      </c>
      <c r="H26">
        <v>7.6499999999999997E-3</v>
      </c>
      <c r="J26" s="4">
        <f t="shared" si="0"/>
        <v>16.14581554227156</v>
      </c>
      <c r="K26" s="4">
        <f t="shared" si="1"/>
        <v>3.6951135581555405</v>
      </c>
      <c r="M26" t="s">
        <v>27</v>
      </c>
      <c r="N26" t="s">
        <v>43</v>
      </c>
      <c r="O26">
        <v>1.5559999999999999E-2</v>
      </c>
      <c r="P26">
        <v>6.4430000000000001E-2</v>
      </c>
      <c r="Q26">
        <v>8.548E-2</v>
      </c>
      <c r="R26">
        <v>5.0299999999999997E-3</v>
      </c>
      <c r="S26">
        <v>2.9049999999999999E-2</v>
      </c>
      <c r="T26">
        <v>3.0799999999999998E-3</v>
      </c>
      <c r="V26" s="7">
        <f t="shared" si="2"/>
        <v>0.25230665786753992</v>
      </c>
      <c r="X26" t="s">
        <v>27</v>
      </c>
      <c r="Y26" t="s">
        <v>43</v>
      </c>
      <c r="Z26">
        <v>0.04</v>
      </c>
      <c r="AA26">
        <v>-1.1690000000000001E-2</v>
      </c>
      <c r="AB26">
        <v>5.296E-2</v>
      </c>
      <c r="AC26" s="7">
        <v>0.98692999999999997</v>
      </c>
    </row>
    <row r="27" spans="1:30" x14ac:dyDescent="0.25">
      <c r="A27" t="s">
        <v>27</v>
      </c>
      <c r="B27" t="s">
        <v>44</v>
      </c>
      <c r="C27">
        <v>2.9499999999999998E-2</v>
      </c>
      <c r="D27">
        <v>0.19608999999999999</v>
      </c>
      <c r="E27">
        <v>0.48249999999999998</v>
      </c>
      <c r="F27">
        <v>1.0659999999999999E-2</v>
      </c>
      <c r="G27">
        <v>0.11223</v>
      </c>
      <c r="H27">
        <v>7.8799999999999999E-3</v>
      </c>
      <c r="J27" s="4">
        <f t="shared" si="0"/>
        <v>16.461698584512909</v>
      </c>
      <c r="K27" s="4">
        <f t="shared" si="1"/>
        <v>3.8044067796610168</v>
      </c>
      <c r="L27" s="7"/>
      <c r="M27" t="s">
        <v>27</v>
      </c>
      <c r="N27" t="s">
        <v>44</v>
      </c>
      <c r="O27">
        <v>1.5820000000000001E-2</v>
      </c>
      <c r="P27">
        <v>6.7419999999999994E-2</v>
      </c>
      <c r="Q27">
        <v>8.9429999999999996E-2</v>
      </c>
      <c r="R27">
        <v>5.28E-3</v>
      </c>
      <c r="S27">
        <v>3.032E-2</v>
      </c>
      <c r="T27">
        <v>3.14E-3</v>
      </c>
      <c r="V27" s="7">
        <f t="shared" si="2"/>
        <v>0.25202059938487947</v>
      </c>
      <c r="W27" s="7">
        <f>AVERAGE(V22:V27)/AVERAGE(V16:V21)-1</f>
        <v>-5.1009993983630597E-4</v>
      </c>
      <c r="X27" t="s">
        <v>27</v>
      </c>
      <c r="Y27" t="s">
        <v>44</v>
      </c>
      <c r="Z27">
        <v>0.02</v>
      </c>
      <c r="AA27">
        <v>-1.081E-2</v>
      </c>
      <c r="AB27">
        <v>5.475E-2</v>
      </c>
      <c r="AC27" s="7">
        <v>0.98692999999999997</v>
      </c>
      <c r="AD27" s="7"/>
    </row>
    <row r="28" spans="1:30" x14ac:dyDescent="0.25">
      <c r="A28" t="s">
        <v>1</v>
      </c>
      <c r="B28" t="s">
        <v>33</v>
      </c>
      <c r="C28">
        <v>0.64441000000000004</v>
      </c>
      <c r="D28">
        <v>0.93820000000000003</v>
      </c>
      <c r="E28">
        <v>1.05067</v>
      </c>
      <c r="F28">
        <v>0.41596</v>
      </c>
      <c r="G28">
        <v>0.58260000000000001</v>
      </c>
      <c r="H28">
        <v>0.35004999999999997</v>
      </c>
      <c r="J28" s="4">
        <f t="shared" si="0"/>
        <v>1.8231945094369051</v>
      </c>
      <c r="K28" s="4">
        <f t="shared" si="1"/>
        <v>0.90408280442575373</v>
      </c>
      <c r="M28" t="s">
        <v>1</v>
      </c>
      <c r="N28" t="s">
        <v>33</v>
      </c>
      <c r="O28">
        <v>0.12870999999999999</v>
      </c>
      <c r="P28">
        <v>0.10367</v>
      </c>
      <c r="Q28">
        <v>0.10918</v>
      </c>
      <c r="R28">
        <v>7.9939999999999997E-2</v>
      </c>
      <c r="S28">
        <v>3.7670000000000002E-2</v>
      </c>
      <c r="T28">
        <v>5.5050000000000002E-2</v>
      </c>
      <c r="V28" s="7">
        <f t="shared" si="2"/>
        <v>0.12913967990075065</v>
      </c>
      <c r="X28" t="s">
        <v>1</v>
      </c>
      <c r="Y28" t="s">
        <v>33</v>
      </c>
      <c r="Z28">
        <v>8.15</v>
      </c>
      <c r="AA28">
        <v>-0.32127</v>
      </c>
      <c r="AB28">
        <v>0.55656000000000005</v>
      </c>
      <c r="AC28" s="7">
        <v>0.87582000000000004</v>
      </c>
    </row>
    <row r="29" spans="1:30" x14ac:dyDescent="0.25">
      <c r="A29" t="s">
        <v>1</v>
      </c>
      <c r="B29" t="s">
        <v>34</v>
      </c>
      <c r="C29">
        <v>0.57460999999999995</v>
      </c>
      <c r="D29">
        <v>0.86829000000000001</v>
      </c>
      <c r="E29">
        <v>0.97587999999999997</v>
      </c>
      <c r="F29">
        <v>0.35860999999999998</v>
      </c>
      <c r="G29">
        <v>0.52390999999999999</v>
      </c>
      <c r="H29">
        <v>0.29246</v>
      </c>
      <c r="J29" s="4">
        <f t="shared" si="0"/>
        <v>1.9320540434697473</v>
      </c>
      <c r="K29" s="4">
        <f t="shared" si="1"/>
        <v>0.91176624145072316</v>
      </c>
      <c r="M29" t="s">
        <v>1</v>
      </c>
      <c r="N29" t="s">
        <v>34</v>
      </c>
      <c r="O29">
        <v>0.11718000000000001</v>
      </c>
      <c r="P29">
        <v>9.2420000000000002E-2</v>
      </c>
      <c r="Q29">
        <v>9.8839999999999997E-2</v>
      </c>
      <c r="R29">
        <v>7.8780000000000003E-2</v>
      </c>
      <c r="S29">
        <v>3.6499999999999998E-2</v>
      </c>
      <c r="T29">
        <v>5.4780000000000002E-2</v>
      </c>
      <c r="V29" s="7">
        <f t="shared" si="2"/>
        <v>0.1331474555896888</v>
      </c>
      <c r="X29" t="s">
        <v>1</v>
      </c>
      <c r="Y29" t="s">
        <v>34</v>
      </c>
      <c r="Z29">
        <v>7.98</v>
      </c>
      <c r="AA29">
        <v>-0.29629</v>
      </c>
      <c r="AB29">
        <v>0.49797999999999998</v>
      </c>
      <c r="AC29" s="7">
        <v>0.87582000000000004</v>
      </c>
    </row>
    <row r="30" spans="1:30" x14ac:dyDescent="0.25">
      <c r="A30" t="s">
        <v>1</v>
      </c>
      <c r="B30" t="s">
        <v>35</v>
      </c>
      <c r="C30">
        <v>1.7700000000000001E-3</v>
      </c>
      <c r="D30">
        <v>3.4299999999999999E-3</v>
      </c>
      <c r="E30">
        <v>3.9899999999999996E-3</v>
      </c>
      <c r="F30">
        <v>1.32E-3</v>
      </c>
      <c r="G30">
        <v>1.8400000000000001E-3</v>
      </c>
      <c r="H30">
        <v>1.1199999999999999E-3</v>
      </c>
      <c r="J30" s="4">
        <f t="shared" si="0"/>
        <v>2.199524940617577</v>
      </c>
      <c r="K30" s="4">
        <f t="shared" si="1"/>
        <v>1.03954802259887</v>
      </c>
      <c r="M30" t="s">
        <v>1</v>
      </c>
      <c r="N30" t="s">
        <v>35</v>
      </c>
      <c r="O30">
        <v>3.3E-4</v>
      </c>
      <c r="P30">
        <v>3.3E-4</v>
      </c>
      <c r="Q30">
        <v>3.3E-4</v>
      </c>
      <c r="R30">
        <v>2.2000000000000001E-4</v>
      </c>
      <c r="S30">
        <v>1.7000000000000001E-4</v>
      </c>
      <c r="T30">
        <v>1.6000000000000001E-4</v>
      </c>
      <c r="V30" s="7">
        <f t="shared" si="2"/>
        <v>0.11432813659985151</v>
      </c>
      <c r="X30" t="s">
        <v>1</v>
      </c>
      <c r="Y30" t="s">
        <v>35</v>
      </c>
      <c r="Z30">
        <v>5.45</v>
      </c>
      <c r="AA30">
        <v>-7.5000000000000002E-4</v>
      </c>
      <c r="AB30">
        <v>1.6800000000000001E-3</v>
      </c>
      <c r="AC30" s="7">
        <v>0.91503000000000001</v>
      </c>
    </row>
    <row r="31" spans="1:30" x14ac:dyDescent="0.25">
      <c r="A31" t="s">
        <v>1</v>
      </c>
      <c r="B31" t="s">
        <v>36</v>
      </c>
      <c r="C31">
        <v>1.6100000000000001E-3</v>
      </c>
      <c r="D31">
        <v>2.1800000000000001E-3</v>
      </c>
      <c r="E31">
        <v>2.5100000000000001E-3</v>
      </c>
      <c r="F31">
        <v>1.09E-3</v>
      </c>
      <c r="G31">
        <v>1.6100000000000001E-3</v>
      </c>
      <c r="H31">
        <v>9.2000000000000003E-4</v>
      </c>
      <c r="J31" s="4">
        <f t="shared" si="0"/>
        <v>1.7403314917127071</v>
      </c>
      <c r="K31" s="4">
        <f t="shared" si="1"/>
        <v>1</v>
      </c>
      <c r="M31" t="s">
        <v>1</v>
      </c>
      <c r="N31" t="s">
        <v>36</v>
      </c>
      <c r="O31">
        <v>3.3E-4</v>
      </c>
      <c r="P31">
        <v>3.1E-4</v>
      </c>
      <c r="Q31">
        <v>3.1E-4</v>
      </c>
      <c r="R31">
        <v>2.5000000000000001E-4</v>
      </c>
      <c r="S31">
        <v>1.2E-4</v>
      </c>
      <c r="T31">
        <v>1.7000000000000001E-4</v>
      </c>
      <c r="V31" s="7">
        <f t="shared" si="2"/>
        <v>0.15020161290322581</v>
      </c>
      <c r="X31" t="s">
        <v>1</v>
      </c>
      <c r="Y31" t="s">
        <v>36</v>
      </c>
      <c r="Z31">
        <v>7.51</v>
      </c>
      <c r="AA31">
        <v>-7.2000000000000005E-4</v>
      </c>
      <c r="AB31">
        <v>1.5299999999999999E-3</v>
      </c>
      <c r="AC31" s="7">
        <v>0.89541999999999999</v>
      </c>
    </row>
    <row r="32" spans="1:30" x14ac:dyDescent="0.25">
      <c r="A32" t="s">
        <v>1</v>
      </c>
      <c r="B32" t="s">
        <v>37</v>
      </c>
      <c r="C32">
        <v>2.3400000000000001E-3</v>
      </c>
      <c r="D32">
        <v>3.0599999999999998E-3</v>
      </c>
      <c r="E32">
        <v>4.7400000000000003E-3</v>
      </c>
      <c r="F32">
        <v>1.42E-3</v>
      </c>
      <c r="G32">
        <v>2.7899999999999999E-3</v>
      </c>
      <c r="H32">
        <v>1.33E-3</v>
      </c>
      <c r="J32" s="4">
        <f t="shared" si="0"/>
        <v>2.0805500982318268</v>
      </c>
      <c r="K32" s="4">
        <f t="shared" si="1"/>
        <v>1.1923076923076923</v>
      </c>
      <c r="M32" t="s">
        <v>1</v>
      </c>
      <c r="N32" t="s">
        <v>37</v>
      </c>
      <c r="O32">
        <v>6.7000000000000002E-4</v>
      </c>
      <c r="P32">
        <v>8.7000000000000001E-4</v>
      </c>
      <c r="Q32">
        <v>9.5E-4</v>
      </c>
      <c r="R32">
        <v>2.5999999999999998E-4</v>
      </c>
      <c r="S32">
        <v>5.8E-4</v>
      </c>
      <c r="T32">
        <v>3.6000000000000002E-4</v>
      </c>
      <c r="V32" s="7">
        <f t="shared" si="2"/>
        <v>0.2353316326530612</v>
      </c>
      <c r="X32" t="s">
        <v>1</v>
      </c>
      <c r="Y32" t="s">
        <v>37</v>
      </c>
      <c r="Z32">
        <v>6.52</v>
      </c>
      <c r="AA32">
        <v>-1.6800000000000001E-3</v>
      </c>
      <c r="AB32">
        <v>2.16E-3</v>
      </c>
      <c r="AC32" s="7">
        <v>0.89541999999999999</v>
      </c>
    </row>
    <row r="33" spans="1:30" x14ac:dyDescent="0.25">
      <c r="A33" t="s">
        <v>1</v>
      </c>
      <c r="B33" t="s">
        <v>38</v>
      </c>
      <c r="C33">
        <v>2.4199999999999998E-3</v>
      </c>
      <c r="D33">
        <v>3.1900000000000001E-3</v>
      </c>
      <c r="E33">
        <v>4.9100000000000003E-3</v>
      </c>
      <c r="F33">
        <v>1.47E-3</v>
      </c>
      <c r="G33">
        <v>2.9399999999999999E-3</v>
      </c>
      <c r="H33">
        <v>1.4400000000000001E-3</v>
      </c>
      <c r="J33" s="4">
        <f t="shared" si="0"/>
        <v>2.0712945590994369</v>
      </c>
      <c r="K33" s="4">
        <f t="shared" si="1"/>
        <v>1.2148760330578512</v>
      </c>
      <c r="L33" s="4"/>
      <c r="M33" t="s">
        <v>1</v>
      </c>
      <c r="N33" t="s">
        <v>38</v>
      </c>
      <c r="O33">
        <v>7.5000000000000002E-4</v>
      </c>
      <c r="P33">
        <v>8.8000000000000003E-4</v>
      </c>
      <c r="Q33">
        <v>9.6000000000000002E-4</v>
      </c>
      <c r="R33">
        <v>2.9E-4</v>
      </c>
      <c r="S33">
        <v>5.6999999999999998E-4</v>
      </c>
      <c r="T33">
        <v>4.2999999999999999E-4</v>
      </c>
      <c r="V33" s="7">
        <f t="shared" si="2"/>
        <v>0.23701893708002444</v>
      </c>
      <c r="X33" t="s">
        <v>1</v>
      </c>
      <c r="Y33" t="s">
        <v>38</v>
      </c>
      <c r="Z33">
        <v>6.42</v>
      </c>
      <c r="AA33">
        <v>-1.73E-3</v>
      </c>
      <c r="AB33">
        <v>2.2799999999999999E-3</v>
      </c>
      <c r="AC33" s="7">
        <v>0.90195999999999998</v>
      </c>
    </row>
    <row r="34" spans="1:30" x14ac:dyDescent="0.25">
      <c r="A34" t="s">
        <v>1</v>
      </c>
      <c r="B34" t="s">
        <v>39</v>
      </c>
      <c r="C34">
        <v>1.51789</v>
      </c>
      <c r="D34">
        <v>2.2715700000000001</v>
      </c>
      <c r="E34">
        <v>2.5524200000000001</v>
      </c>
      <c r="F34">
        <v>0.95723000000000003</v>
      </c>
      <c r="G34">
        <v>1.38411</v>
      </c>
      <c r="H34">
        <v>0.78963000000000005</v>
      </c>
      <c r="J34" s="4">
        <f t="shared" si="0"/>
        <v>1.9015544834979705</v>
      </c>
      <c r="K34" s="4">
        <f t="shared" si="1"/>
        <v>0.9118644961097313</v>
      </c>
      <c r="M34" t="s">
        <v>1</v>
      </c>
      <c r="N34" t="s">
        <v>39</v>
      </c>
      <c r="O34">
        <v>0.30928</v>
      </c>
      <c r="P34">
        <v>0.24067</v>
      </c>
      <c r="Q34">
        <v>0.25597999999999999</v>
      </c>
      <c r="R34">
        <v>0.20311000000000001</v>
      </c>
      <c r="S34">
        <v>9.4009999999999996E-2</v>
      </c>
      <c r="T34">
        <v>0.14038999999999999</v>
      </c>
      <c r="V34" s="7">
        <f t="shared" si="2"/>
        <v>0.13126355848556662</v>
      </c>
      <c r="X34" t="s">
        <v>1</v>
      </c>
      <c r="Y34" t="s">
        <v>39</v>
      </c>
      <c r="Z34">
        <v>7.98</v>
      </c>
      <c r="AA34">
        <v>-0.77551999999999999</v>
      </c>
      <c r="AB34">
        <v>1.3162499999999999</v>
      </c>
      <c r="AC34" s="7">
        <v>0.87582000000000004</v>
      </c>
    </row>
    <row r="35" spans="1:30" x14ac:dyDescent="0.25">
      <c r="A35" t="s">
        <v>1</v>
      </c>
      <c r="B35" t="s">
        <v>40</v>
      </c>
      <c r="C35">
        <v>1.34521</v>
      </c>
      <c r="D35">
        <v>2.0119099999999999</v>
      </c>
      <c r="E35">
        <v>2.25075</v>
      </c>
      <c r="F35">
        <v>0.85979000000000005</v>
      </c>
      <c r="G35">
        <v>1.2758499999999999</v>
      </c>
      <c r="H35">
        <v>0.72011000000000003</v>
      </c>
      <c r="J35" s="4">
        <f t="shared" si="0"/>
        <v>1.893436486149239</v>
      </c>
      <c r="K35" s="4">
        <f t="shared" si="1"/>
        <v>0.94843927713888532</v>
      </c>
      <c r="M35" t="s">
        <v>1</v>
      </c>
      <c r="N35" t="s">
        <v>40</v>
      </c>
      <c r="O35">
        <v>0.26779999999999998</v>
      </c>
      <c r="P35">
        <v>0.16164000000000001</v>
      </c>
      <c r="Q35">
        <v>0.17815</v>
      </c>
      <c r="R35">
        <v>0.17698</v>
      </c>
      <c r="S35">
        <v>7.3230000000000003E-2</v>
      </c>
      <c r="T35">
        <v>0.13575000000000001</v>
      </c>
      <c r="V35" s="7">
        <f t="shared" si="2"/>
        <v>0.11739066735037726</v>
      </c>
      <c r="X35" t="s">
        <v>1</v>
      </c>
      <c r="Y35" t="s">
        <v>40</v>
      </c>
      <c r="Z35">
        <v>7.41</v>
      </c>
      <c r="AA35">
        <v>-0.76227999999999996</v>
      </c>
      <c r="AB35">
        <v>1.20557</v>
      </c>
      <c r="AC35" s="7">
        <v>0.90849999999999997</v>
      </c>
    </row>
    <row r="36" spans="1:30" x14ac:dyDescent="0.25">
      <c r="A36" t="s">
        <v>1</v>
      </c>
      <c r="B36" t="s">
        <v>41</v>
      </c>
      <c r="C36">
        <v>4.1399999999999996E-3</v>
      </c>
      <c r="D36">
        <v>6.0400000000000002E-3</v>
      </c>
      <c r="E36">
        <v>6.96E-3</v>
      </c>
      <c r="F36">
        <v>2.8800000000000002E-3</v>
      </c>
      <c r="G36">
        <v>4.1700000000000001E-3</v>
      </c>
      <c r="H36">
        <v>2.4499999999999999E-3</v>
      </c>
      <c r="J36" s="4">
        <f t="shared" si="0"/>
        <v>1.8130939809926083</v>
      </c>
      <c r="K36" s="4">
        <f t="shared" si="1"/>
        <v>1.0072463768115942</v>
      </c>
      <c r="M36" t="s">
        <v>1</v>
      </c>
      <c r="N36" t="s">
        <v>41</v>
      </c>
      <c r="O36">
        <v>8.1999999999999998E-4</v>
      </c>
      <c r="P36">
        <v>6.6E-4</v>
      </c>
      <c r="Q36">
        <v>6.8000000000000005E-4</v>
      </c>
      <c r="R36">
        <v>5.9999999999999995E-4</v>
      </c>
      <c r="S36">
        <v>2.9999999999999997E-4</v>
      </c>
      <c r="T36">
        <v>4.0999999999999999E-4</v>
      </c>
      <c r="V36" s="7">
        <f t="shared" si="2"/>
        <v>0.13025525525525525</v>
      </c>
      <c r="X36" t="s">
        <v>1</v>
      </c>
      <c r="Y36" t="s">
        <v>41</v>
      </c>
      <c r="Z36">
        <v>6.44</v>
      </c>
      <c r="AA36">
        <v>-1.8500000000000001E-3</v>
      </c>
      <c r="AB36">
        <v>3.9300000000000003E-3</v>
      </c>
      <c r="AC36" s="7">
        <v>0.90849999999999997</v>
      </c>
    </row>
    <row r="37" spans="1:30" x14ac:dyDescent="0.25">
      <c r="A37" t="s">
        <v>1</v>
      </c>
      <c r="B37" t="s">
        <v>42</v>
      </c>
      <c r="C37">
        <v>3.8300000000000001E-3</v>
      </c>
      <c r="D37">
        <v>5.1200000000000004E-3</v>
      </c>
      <c r="E37">
        <v>5.9100000000000003E-3</v>
      </c>
      <c r="F37">
        <v>2.63E-3</v>
      </c>
      <c r="G37">
        <v>3.9500000000000004E-3</v>
      </c>
      <c r="H37">
        <v>2.2799999999999999E-3</v>
      </c>
      <c r="J37" s="4">
        <f t="shared" si="0"/>
        <v>1.7139588100686498</v>
      </c>
      <c r="K37" s="4">
        <f t="shared" si="1"/>
        <v>1.0313315926892952</v>
      </c>
      <c r="M37" t="s">
        <v>1</v>
      </c>
      <c r="N37" t="s">
        <v>42</v>
      </c>
      <c r="O37">
        <v>7.5000000000000002E-4</v>
      </c>
      <c r="P37">
        <v>6.2E-4</v>
      </c>
      <c r="Q37">
        <v>6.8000000000000005E-4</v>
      </c>
      <c r="R37">
        <v>5.6999999999999998E-4</v>
      </c>
      <c r="S37">
        <v>2.5000000000000001E-4</v>
      </c>
      <c r="T37">
        <v>4.0999999999999999E-4</v>
      </c>
      <c r="V37" s="7">
        <f t="shared" si="2"/>
        <v>0.13827993254637436</v>
      </c>
      <c r="X37" t="s">
        <v>1</v>
      </c>
      <c r="Y37" t="s">
        <v>42</v>
      </c>
      <c r="Z37">
        <v>6.54</v>
      </c>
      <c r="AA37">
        <v>-1.7700000000000001E-3</v>
      </c>
      <c r="AB37">
        <v>3.7399999999999998E-3</v>
      </c>
      <c r="AC37" s="7">
        <v>0.89541999999999999</v>
      </c>
    </row>
    <row r="38" spans="1:30" x14ac:dyDescent="0.25">
      <c r="A38" t="s">
        <v>1</v>
      </c>
      <c r="B38" t="s">
        <v>43</v>
      </c>
      <c r="C38">
        <v>4.4900000000000001E-3</v>
      </c>
      <c r="D38">
        <v>6.0699999999999999E-3</v>
      </c>
      <c r="E38">
        <v>7.77E-3</v>
      </c>
      <c r="F38">
        <v>2.98E-3</v>
      </c>
      <c r="G38">
        <v>4.7800000000000004E-3</v>
      </c>
      <c r="H38">
        <v>2.5999999999999999E-3</v>
      </c>
      <c r="J38" s="4">
        <f t="shared" si="0"/>
        <v>1.8490566037735852</v>
      </c>
      <c r="K38" s="4">
        <f t="shared" si="1"/>
        <v>1.0645879732739421</v>
      </c>
      <c r="M38" t="s">
        <v>1</v>
      </c>
      <c r="N38" t="s">
        <v>43</v>
      </c>
      <c r="O38">
        <v>7.7999999999999999E-4</v>
      </c>
      <c r="P38">
        <v>9.6000000000000002E-4</v>
      </c>
      <c r="Q38">
        <v>1.0499999999999999E-3</v>
      </c>
      <c r="R38">
        <v>6.0999999999999997E-4</v>
      </c>
      <c r="S38">
        <v>5.1000000000000004E-4</v>
      </c>
      <c r="T38">
        <v>5.1000000000000004E-4</v>
      </c>
      <c r="V38" s="7">
        <f t="shared" si="2"/>
        <v>0.15406064830951552</v>
      </c>
      <c r="X38" t="s">
        <v>1</v>
      </c>
      <c r="Y38" t="s">
        <v>43</v>
      </c>
      <c r="Z38">
        <v>5.6</v>
      </c>
      <c r="AA38">
        <v>-1.73E-3</v>
      </c>
      <c r="AB38">
        <v>4.3800000000000002E-3</v>
      </c>
      <c r="AC38" s="7">
        <v>0.86928000000000005</v>
      </c>
    </row>
    <row r="39" spans="1:30" x14ac:dyDescent="0.25">
      <c r="A39" t="s">
        <v>1</v>
      </c>
      <c r="B39" t="s">
        <v>44</v>
      </c>
      <c r="C39">
        <v>4.7800000000000004E-3</v>
      </c>
      <c r="D39">
        <v>5.8599999999999998E-3</v>
      </c>
      <c r="E39">
        <v>6.6100000000000004E-3</v>
      </c>
      <c r="F39">
        <v>3.0300000000000001E-3</v>
      </c>
      <c r="G39">
        <v>4.5700000000000003E-3</v>
      </c>
      <c r="H39">
        <v>2.5200000000000001E-3</v>
      </c>
      <c r="J39" s="4">
        <f t="shared" si="0"/>
        <v>1.649564375605034</v>
      </c>
      <c r="K39" s="4">
        <f t="shared" si="1"/>
        <v>0.95606694560669458</v>
      </c>
      <c r="L39" s="7"/>
      <c r="M39" t="s">
        <v>1</v>
      </c>
      <c r="N39" t="s">
        <v>44</v>
      </c>
      <c r="O39">
        <v>1.15E-3</v>
      </c>
      <c r="P39">
        <v>7.3999999999999999E-4</v>
      </c>
      <c r="Q39">
        <v>4.2000000000000002E-4</v>
      </c>
      <c r="R39">
        <v>6.4000000000000005E-4</v>
      </c>
      <c r="S39">
        <v>3.8999999999999999E-4</v>
      </c>
      <c r="T39">
        <v>4.4000000000000002E-4</v>
      </c>
      <c r="V39" s="7">
        <f t="shared" si="2"/>
        <v>0.13810741687979536</v>
      </c>
      <c r="W39" s="7">
        <f>AVERAGE(V34:V39)/AVERAGE(V28:V33)-1</f>
        <v>-0.18996813297091919</v>
      </c>
      <c r="X39" t="s">
        <v>1</v>
      </c>
      <c r="Y39" t="s">
        <v>44</v>
      </c>
      <c r="Z39">
        <v>9.77</v>
      </c>
      <c r="AA39">
        <v>-2.31E-3</v>
      </c>
      <c r="AB39">
        <v>4.28E-3</v>
      </c>
      <c r="AC39" s="7">
        <v>0.87582000000000004</v>
      </c>
      <c r="AD39" s="7"/>
    </row>
    <row r="40" spans="1:30" x14ac:dyDescent="0.25">
      <c r="A40" t="s">
        <v>11</v>
      </c>
      <c r="B40" t="s">
        <v>33</v>
      </c>
      <c r="C40">
        <v>3.1366399999999999</v>
      </c>
      <c r="D40">
        <v>8.2477900000000002</v>
      </c>
      <c r="E40">
        <v>12.25492</v>
      </c>
      <c r="F40">
        <v>1.6248899999999999</v>
      </c>
      <c r="G40">
        <v>5.1780799999999996</v>
      </c>
      <c r="H40">
        <v>1.3513900000000001</v>
      </c>
      <c r="J40" s="4">
        <f t="shared" si="0"/>
        <v>4.2010675749069186</v>
      </c>
      <c r="K40" s="4">
        <f t="shared" si="1"/>
        <v>1.6508365639665374</v>
      </c>
      <c r="M40" t="s">
        <v>11</v>
      </c>
      <c r="N40" t="s">
        <v>33</v>
      </c>
      <c r="O40">
        <v>1.0049999999999999</v>
      </c>
      <c r="P40">
        <v>1.54948</v>
      </c>
      <c r="Q40">
        <v>1.3586</v>
      </c>
      <c r="R40">
        <v>0.36476999999999998</v>
      </c>
      <c r="S40">
        <v>0.71275999999999995</v>
      </c>
      <c r="T40">
        <v>0.24842</v>
      </c>
      <c r="V40" s="7">
        <f t="shared" si="2"/>
        <v>0.16478196473453399</v>
      </c>
      <c r="X40" t="s">
        <v>11</v>
      </c>
      <c r="Y40" t="s">
        <v>33</v>
      </c>
      <c r="Z40">
        <v>0.47</v>
      </c>
      <c r="AA40">
        <v>-1.54823</v>
      </c>
      <c r="AB40">
        <v>4.0486199999999997</v>
      </c>
      <c r="AC40" s="7">
        <v>0.96077999999999997</v>
      </c>
    </row>
    <row r="41" spans="1:30" x14ac:dyDescent="0.25">
      <c r="A41" t="s">
        <v>11</v>
      </c>
      <c r="B41" t="s">
        <v>34</v>
      </c>
      <c r="C41">
        <v>6.1296799999999996</v>
      </c>
      <c r="D41">
        <v>15.90133</v>
      </c>
      <c r="E41">
        <v>23.533750000000001</v>
      </c>
      <c r="F41">
        <v>3.2594799999999999</v>
      </c>
      <c r="G41">
        <v>10.469760000000001</v>
      </c>
      <c r="H41">
        <v>2.7988300000000002</v>
      </c>
      <c r="J41" s="4">
        <f t="shared" si="0"/>
        <v>4.0945914789887414</v>
      </c>
      <c r="K41" s="4">
        <f t="shared" si="1"/>
        <v>1.708043486772556</v>
      </c>
      <c r="M41" t="s">
        <v>11</v>
      </c>
      <c r="N41" t="s">
        <v>34</v>
      </c>
      <c r="O41">
        <v>1.96536</v>
      </c>
      <c r="P41">
        <v>2.83318</v>
      </c>
      <c r="Q41">
        <v>2.4287800000000002</v>
      </c>
      <c r="R41">
        <v>0.69872000000000001</v>
      </c>
      <c r="S41">
        <v>1.32667</v>
      </c>
      <c r="T41">
        <v>0.49924000000000002</v>
      </c>
      <c r="V41" s="7">
        <f t="shared" si="2"/>
        <v>0.15705436521414792</v>
      </c>
      <c r="X41" t="s">
        <v>11</v>
      </c>
      <c r="Y41" t="s">
        <v>34</v>
      </c>
      <c r="Z41">
        <v>0.31</v>
      </c>
      <c r="AA41">
        <v>-2.7614800000000002</v>
      </c>
      <c r="AB41">
        <v>8.0621700000000001</v>
      </c>
      <c r="AC41" s="7">
        <v>0.97385999999999995</v>
      </c>
    </row>
    <row r="42" spans="1:30" x14ac:dyDescent="0.25">
      <c r="A42" t="s">
        <v>11</v>
      </c>
      <c r="B42" t="s">
        <v>35</v>
      </c>
      <c r="C42">
        <v>8.5400000000000007E-3</v>
      </c>
      <c r="D42">
        <v>2.1010000000000001E-2</v>
      </c>
      <c r="E42">
        <v>3.2919999999999998E-2</v>
      </c>
      <c r="F42">
        <v>4.81E-3</v>
      </c>
      <c r="G42">
        <v>1.549E-2</v>
      </c>
      <c r="H42">
        <v>4.1700000000000001E-3</v>
      </c>
      <c r="J42" s="4">
        <f t="shared" si="0"/>
        <v>3.962328767123287</v>
      </c>
      <c r="K42" s="4">
        <f t="shared" si="1"/>
        <v>1.8138173302107727</v>
      </c>
      <c r="M42" t="s">
        <v>11</v>
      </c>
      <c r="N42" t="s">
        <v>35</v>
      </c>
      <c r="O42">
        <v>2.6199999999999999E-3</v>
      </c>
      <c r="P42">
        <v>3.96E-3</v>
      </c>
      <c r="Q42">
        <v>3.4499999999999999E-3</v>
      </c>
      <c r="R42">
        <v>1.09E-3</v>
      </c>
      <c r="S42">
        <v>2.1700000000000001E-3</v>
      </c>
      <c r="T42">
        <v>7.3999999999999999E-4</v>
      </c>
      <c r="V42" s="7">
        <f t="shared" si="2"/>
        <v>0.16137566137566139</v>
      </c>
      <c r="X42" t="s">
        <v>11</v>
      </c>
      <c r="Y42" t="s">
        <v>35</v>
      </c>
      <c r="Z42">
        <v>0.21</v>
      </c>
      <c r="AA42">
        <v>-2.63E-3</v>
      </c>
      <c r="AB42">
        <v>1.1339999999999999E-2</v>
      </c>
      <c r="AC42" s="7">
        <v>0.98038999999999998</v>
      </c>
    </row>
    <row r="43" spans="1:30" x14ac:dyDescent="0.25">
      <c r="A43" t="s">
        <v>11</v>
      </c>
      <c r="B43" t="s">
        <v>36</v>
      </c>
      <c r="C43">
        <v>1.7149999999999999E-2</v>
      </c>
      <c r="D43">
        <v>4.1610000000000001E-2</v>
      </c>
      <c r="E43">
        <v>6.497E-2</v>
      </c>
      <c r="F43">
        <v>9.8799999999999999E-3</v>
      </c>
      <c r="G43">
        <v>3.2190000000000003E-2</v>
      </c>
      <c r="H43">
        <v>8.8400000000000006E-3</v>
      </c>
      <c r="J43" s="4">
        <f t="shared" si="0"/>
        <v>3.8686925006969615</v>
      </c>
      <c r="K43" s="4">
        <f t="shared" si="1"/>
        <v>1.8769679300291549</v>
      </c>
      <c r="M43" t="s">
        <v>11</v>
      </c>
      <c r="N43" t="s">
        <v>36</v>
      </c>
      <c r="O43">
        <v>5.28E-3</v>
      </c>
      <c r="P43">
        <v>7.5399999999999998E-3</v>
      </c>
      <c r="Q43">
        <v>6.3899999999999998E-3</v>
      </c>
      <c r="R43">
        <v>2.1800000000000001E-3</v>
      </c>
      <c r="S43">
        <v>4.1700000000000001E-3</v>
      </c>
      <c r="T43">
        <v>1.5399999999999999E-3</v>
      </c>
      <c r="V43" s="7">
        <f t="shared" si="2"/>
        <v>0.1551763628034814</v>
      </c>
      <c r="X43" t="s">
        <v>11</v>
      </c>
      <c r="Y43" t="s">
        <v>36</v>
      </c>
      <c r="Z43">
        <v>0.14000000000000001</v>
      </c>
      <c r="AA43">
        <v>-4.5100000000000001E-3</v>
      </c>
      <c r="AB43">
        <v>2.402E-2</v>
      </c>
      <c r="AC43" s="7">
        <v>0.98692999999999997</v>
      </c>
    </row>
    <row r="44" spans="1:30" x14ac:dyDescent="0.25">
      <c r="A44" t="s">
        <v>11</v>
      </c>
      <c r="B44" t="s">
        <v>37</v>
      </c>
      <c r="C44">
        <v>8.8199999999999997E-3</v>
      </c>
      <c r="D44">
        <v>2.1489999999999999E-2</v>
      </c>
      <c r="E44">
        <v>3.3790000000000001E-2</v>
      </c>
      <c r="F44">
        <v>4.9300000000000004E-3</v>
      </c>
      <c r="G44">
        <v>1.592E-2</v>
      </c>
      <c r="H44">
        <v>4.2900000000000004E-3</v>
      </c>
      <c r="J44" s="4">
        <f t="shared" si="0"/>
        <v>3.9467849223946785</v>
      </c>
      <c r="K44" s="4">
        <f t="shared" si="1"/>
        <v>1.8049886621315194</v>
      </c>
      <c r="M44" t="s">
        <v>11</v>
      </c>
      <c r="N44" t="s">
        <v>37</v>
      </c>
      <c r="O44">
        <v>2.5799999999999998E-3</v>
      </c>
      <c r="P44">
        <v>4.1099999999999999E-3</v>
      </c>
      <c r="Q44">
        <v>3.5599999999999998E-3</v>
      </c>
      <c r="R44">
        <v>1.1100000000000001E-3</v>
      </c>
      <c r="S44">
        <v>2.2399999999999998E-3</v>
      </c>
      <c r="T44">
        <v>7.9000000000000001E-4</v>
      </c>
      <c r="V44" s="7">
        <f t="shared" si="2"/>
        <v>0.16125056028686685</v>
      </c>
      <c r="X44" t="s">
        <v>11</v>
      </c>
      <c r="Y44" t="s">
        <v>37</v>
      </c>
      <c r="Z44">
        <v>0.16</v>
      </c>
      <c r="AA44">
        <v>-2.5999999999999999E-3</v>
      </c>
      <c r="AB44">
        <v>1.191E-2</v>
      </c>
      <c r="AC44" s="7">
        <v>0.98692999999999997</v>
      </c>
    </row>
    <row r="45" spans="1:30" x14ac:dyDescent="0.25">
      <c r="A45" t="s">
        <v>11</v>
      </c>
      <c r="B45" t="s">
        <v>38</v>
      </c>
      <c r="C45">
        <v>8.8299999999999993E-3</v>
      </c>
      <c r="D45">
        <v>2.154E-2</v>
      </c>
      <c r="E45">
        <v>3.3860000000000001E-2</v>
      </c>
      <c r="F45">
        <v>4.9199999999999999E-3</v>
      </c>
      <c r="G45">
        <v>1.5949999999999999E-2</v>
      </c>
      <c r="H45">
        <v>4.28E-3</v>
      </c>
      <c r="J45" s="4">
        <f t="shared" si="0"/>
        <v>3.9572933998890747</v>
      </c>
      <c r="K45" s="4">
        <f t="shared" si="1"/>
        <v>1.8063420158550396</v>
      </c>
      <c r="L45" s="4"/>
      <c r="M45" t="s">
        <v>11</v>
      </c>
      <c r="N45" t="s">
        <v>38</v>
      </c>
      <c r="O45">
        <v>2.5799999999999998E-3</v>
      </c>
      <c r="P45">
        <v>4.1200000000000004E-3</v>
      </c>
      <c r="Q45">
        <v>3.5799999999999998E-3</v>
      </c>
      <c r="R45">
        <v>1.1100000000000001E-3</v>
      </c>
      <c r="S45">
        <v>2.2499999999999998E-3</v>
      </c>
      <c r="T45">
        <v>7.9000000000000001E-4</v>
      </c>
      <c r="V45" s="7">
        <f t="shared" si="2"/>
        <v>0.1614455135377042</v>
      </c>
      <c r="X45" t="s">
        <v>11</v>
      </c>
      <c r="Y45" t="s">
        <v>38</v>
      </c>
      <c r="Z45">
        <v>0.16</v>
      </c>
      <c r="AA45">
        <v>-2.5999999999999999E-3</v>
      </c>
      <c r="AB45">
        <v>1.193E-2</v>
      </c>
      <c r="AC45" s="7">
        <v>0.98692999999999997</v>
      </c>
    </row>
    <row r="46" spans="1:30" x14ac:dyDescent="0.25">
      <c r="A46" t="s">
        <v>11</v>
      </c>
      <c r="B46" t="s">
        <v>39</v>
      </c>
      <c r="C46">
        <v>5.0216000000000003</v>
      </c>
      <c r="D46">
        <v>13.2226</v>
      </c>
      <c r="E46">
        <v>19.64893</v>
      </c>
      <c r="F46">
        <v>2.5970800000000001</v>
      </c>
      <c r="G46">
        <v>8.3005600000000008</v>
      </c>
      <c r="H46">
        <v>2.1573799999999999</v>
      </c>
      <c r="J46" s="4">
        <f t="shared" si="0"/>
        <v>4.211521819628766</v>
      </c>
      <c r="K46" s="4">
        <f t="shared" si="1"/>
        <v>1.6529711645690617</v>
      </c>
      <c r="M46" t="s">
        <v>11</v>
      </c>
      <c r="N46" t="s">
        <v>39</v>
      </c>
      <c r="O46">
        <v>1.6124000000000001</v>
      </c>
      <c r="P46">
        <v>2.48508</v>
      </c>
      <c r="Q46">
        <v>2.17909</v>
      </c>
      <c r="R46">
        <v>0.58604999999999996</v>
      </c>
      <c r="S46">
        <v>1.1431199999999999</v>
      </c>
      <c r="T46">
        <v>0.39977000000000001</v>
      </c>
      <c r="V46" s="7">
        <f t="shared" si="2"/>
        <v>0.16498165291575848</v>
      </c>
      <c r="X46" t="s">
        <v>11</v>
      </c>
      <c r="Y46" t="s">
        <v>39</v>
      </c>
      <c r="Z46">
        <v>0.47</v>
      </c>
      <c r="AA46">
        <v>-2.4831500000000002</v>
      </c>
      <c r="AB46">
        <v>6.4887899999999998</v>
      </c>
      <c r="AC46" s="7">
        <v>0.96077999999999997</v>
      </c>
    </row>
    <row r="47" spans="1:30" x14ac:dyDescent="0.25">
      <c r="A47" t="s">
        <v>11</v>
      </c>
      <c r="B47" t="s">
        <v>40</v>
      </c>
      <c r="C47">
        <v>8.5563900000000004</v>
      </c>
      <c r="D47">
        <v>22.06521</v>
      </c>
      <c r="E47">
        <v>31.822379999999999</v>
      </c>
      <c r="F47">
        <v>4.6727299999999996</v>
      </c>
      <c r="G47">
        <v>14.473039999999999</v>
      </c>
      <c r="H47">
        <v>3.82877</v>
      </c>
      <c r="J47" s="4">
        <f t="shared" si="0"/>
        <v>4.007566586488716</v>
      </c>
      <c r="K47" s="4">
        <f t="shared" si="1"/>
        <v>1.69148905087309</v>
      </c>
      <c r="M47" t="s">
        <v>11</v>
      </c>
      <c r="N47" t="s">
        <v>40</v>
      </c>
      <c r="O47">
        <v>2.5799699999999999</v>
      </c>
      <c r="P47">
        <v>3.8023400000000001</v>
      </c>
      <c r="Q47">
        <v>3.25285</v>
      </c>
      <c r="R47">
        <v>0.99473999999999996</v>
      </c>
      <c r="S47">
        <v>1.8726</v>
      </c>
      <c r="T47">
        <v>0.70750000000000002</v>
      </c>
      <c r="V47" s="7">
        <f t="shared" si="2"/>
        <v>0.15465030300220606</v>
      </c>
      <c r="X47" t="s">
        <v>11</v>
      </c>
      <c r="Y47" t="s">
        <v>40</v>
      </c>
      <c r="Z47">
        <v>0.33</v>
      </c>
      <c r="AA47">
        <v>-3.5746799999999999</v>
      </c>
      <c r="AB47">
        <v>11.282299999999999</v>
      </c>
      <c r="AC47" s="7">
        <v>0.97385999999999995</v>
      </c>
    </row>
    <row r="48" spans="1:30" x14ac:dyDescent="0.25">
      <c r="A48" t="s">
        <v>11</v>
      </c>
      <c r="B48" t="s">
        <v>41</v>
      </c>
      <c r="C48">
        <v>1.3679999999999999E-2</v>
      </c>
      <c r="D48">
        <v>3.3599999999999998E-2</v>
      </c>
      <c r="E48">
        <v>5.2720000000000003E-2</v>
      </c>
      <c r="F48">
        <v>7.6699999999999997E-3</v>
      </c>
      <c r="G48">
        <v>2.4819999999999998E-2</v>
      </c>
      <c r="H48">
        <v>6.6400000000000001E-3</v>
      </c>
      <c r="J48" s="4">
        <f t="shared" si="0"/>
        <v>3.9707038227938547</v>
      </c>
      <c r="K48" s="4">
        <f t="shared" si="1"/>
        <v>1.814327485380117</v>
      </c>
      <c r="M48" t="s">
        <v>11</v>
      </c>
      <c r="N48" t="s">
        <v>41</v>
      </c>
      <c r="O48">
        <v>4.1999999999999997E-3</v>
      </c>
      <c r="P48">
        <v>6.3699999999999998E-3</v>
      </c>
      <c r="Q48">
        <v>5.5300000000000002E-3</v>
      </c>
      <c r="R48">
        <v>1.7600000000000001E-3</v>
      </c>
      <c r="S48">
        <v>3.48E-3</v>
      </c>
      <c r="T48">
        <v>1.1900000000000001E-3</v>
      </c>
      <c r="V48" s="7">
        <f t="shared" si="2"/>
        <v>0.16193488104650325</v>
      </c>
      <c r="X48" t="s">
        <v>11</v>
      </c>
      <c r="Y48" t="s">
        <v>41</v>
      </c>
      <c r="Z48">
        <v>0.21</v>
      </c>
      <c r="AA48">
        <v>-4.2100000000000002E-3</v>
      </c>
      <c r="AB48">
        <v>1.8159999999999999E-2</v>
      </c>
      <c r="AC48" s="7">
        <v>0.98038999999999998</v>
      </c>
    </row>
    <row r="49" spans="1:30" x14ac:dyDescent="0.25">
      <c r="A49" t="s">
        <v>11</v>
      </c>
      <c r="B49" t="s">
        <v>42</v>
      </c>
      <c r="C49">
        <v>2.4299999999999999E-2</v>
      </c>
      <c r="D49">
        <v>5.9080000000000001E-2</v>
      </c>
      <c r="E49">
        <v>8.9529999999999998E-2</v>
      </c>
      <c r="F49">
        <v>1.427E-2</v>
      </c>
      <c r="G49">
        <v>4.4889999999999999E-2</v>
      </c>
      <c r="H49">
        <v>1.214E-2</v>
      </c>
      <c r="J49" s="4">
        <f t="shared" si="0"/>
        <v>3.8158154210214952</v>
      </c>
      <c r="K49" s="4">
        <f t="shared" si="1"/>
        <v>1.8473251028806585</v>
      </c>
      <c r="M49" t="s">
        <v>11</v>
      </c>
      <c r="N49" t="s">
        <v>42</v>
      </c>
      <c r="O49">
        <v>7.1399999999999996E-3</v>
      </c>
      <c r="P49">
        <v>1.043E-2</v>
      </c>
      <c r="Q49">
        <v>8.6700000000000006E-3</v>
      </c>
      <c r="R49">
        <v>3.1800000000000001E-3</v>
      </c>
      <c r="S49">
        <v>5.9899999999999997E-3</v>
      </c>
      <c r="T49">
        <v>2.1900000000000001E-3</v>
      </c>
      <c r="V49" s="7">
        <f t="shared" si="2"/>
        <v>0.15396584906432986</v>
      </c>
      <c r="X49" t="s">
        <v>11</v>
      </c>
      <c r="Y49" t="s">
        <v>42</v>
      </c>
      <c r="Z49">
        <v>0.12</v>
      </c>
      <c r="AA49">
        <v>-6.28E-3</v>
      </c>
      <c r="AB49">
        <v>3.3450000000000001E-2</v>
      </c>
      <c r="AC49" s="7">
        <v>0.98692999999999997</v>
      </c>
    </row>
    <row r="50" spans="1:30" x14ac:dyDescent="0.25">
      <c r="A50" t="s">
        <v>11</v>
      </c>
      <c r="B50" t="s">
        <v>43</v>
      </c>
      <c r="C50">
        <v>1.3990000000000001E-2</v>
      </c>
      <c r="D50">
        <v>3.44E-2</v>
      </c>
      <c r="E50">
        <v>5.4039999999999998E-2</v>
      </c>
      <c r="F50">
        <v>7.8399999999999997E-3</v>
      </c>
      <c r="G50">
        <v>2.5430000000000001E-2</v>
      </c>
      <c r="H50">
        <v>6.7999999999999996E-3</v>
      </c>
      <c r="J50" s="4">
        <f t="shared" si="0"/>
        <v>3.9772965420887179</v>
      </c>
      <c r="K50" s="4">
        <f t="shared" si="1"/>
        <v>1.8177269478198714</v>
      </c>
      <c r="M50" t="s">
        <v>11</v>
      </c>
      <c r="N50" t="s">
        <v>43</v>
      </c>
      <c r="O50">
        <v>4.2300000000000003E-3</v>
      </c>
      <c r="P50">
        <v>6.5900000000000004E-3</v>
      </c>
      <c r="Q50">
        <v>5.7200000000000003E-3</v>
      </c>
      <c r="R50">
        <v>1.7899999999999999E-3</v>
      </c>
      <c r="S50">
        <v>3.5799999999999998E-3</v>
      </c>
      <c r="T50">
        <v>1.24E-3</v>
      </c>
      <c r="V50" s="7">
        <f t="shared" si="2"/>
        <v>0.16245614035087722</v>
      </c>
      <c r="X50" t="s">
        <v>11</v>
      </c>
      <c r="Y50" t="s">
        <v>43</v>
      </c>
      <c r="Z50">
        <v>0.16</v>
      </c>
      <c r="AA50">
        <v>-4.1900000000000001E-3</v>
      </c>
      <c r="AB50">
        <v>1.907E-2</v>
      </c>
      <c r="AC50" s="7">
        <v>0.98692999999999997</v>
      </c>
    </row>
    <row r="51" spans="1:30" x14ac:dyDescent="0.25">
      <c r="A51" t="s">
        <v>11</v>
      </c>
      <c r="B51" t="s">
        <v>44</v>
      </c>
      <c r="C51">
        <v>1.465E-2</v>
      </c>
      <c r="D51">
        <v>3.4520000000000002E-2</v>
      </c>
      <c r="E51">
        <v>5.8160000000000003E-2</v>
      </c>
      <c r="F51">
        <v>7.9100000000000004E-3</v>
      </c>
      <c r="G51">
        <v>2.564E-2</v>
      </c>
      <c r="H51">
        <v>7.1399999999999996E-3</v>
      </c>
      <c r="J51" s="4">
        <f t="shared" si="0"/>
        <v>3.9838383838383837</v>
      </c>
      <c r="K51" s="4">
        <f t="shared" si="1"/>
        <v>1.7501706484641639</v>
      </c>
      <c r="L51" s="7"/>
      <c r="M51" t="s">
        <v>11</v>
      </c>
      <c r="N51" t="s">
        <v>44</v>
      </c>
      <c r="O51">
        <v>5.3699999999999998E-3</v>
      </c>
      <c r="P51">
        <v>6.5199999999999998E-3</v>
      </c>
      <c r="Q51">
        <v>1.3100000000000001E-2</v>
      </c>
      <c r="R51">
        <v>1.7899999999999999E-3</v>
      </c>
      <c r="S51">
        <v>3.5799999999999998E-3</v>
      </c>
      <c r="T51">
        <v>1.5E-3</v>
      </c>
      <c r="V51" s="7">
        <f t="shared" si="2"/>
        <v>0.2152411836238346</v>
      </c>
      <c r="W51" s="7">
        <f>AVERAGE(V46:V51)/AVERAGE(V40:V45)-1</f>
        <v>5.4257025225359579E-2</v>
      </c>
      <c r="X51" t="s">
        <v>11</v>
      </c>
      <c r="Y51" t="s">
        <v>44</v>
      </c>
      <c r="Z51">
        <v>0.74</v>
      </c>
      <c r="AA51">
        <v>-1.021E-2</v>
      </c>
      <c r="AB51">
        <v>1.9029999999999998E-2</v>
      </c>
      <c r="AC51" s="7">
        <v>0.98038999999999998</v>
      </c>
      <c r="AD51" s="7"/>
    </row>
    <row r="52" spans="1:30" x14ac:dyDescent="0.25">
      <c r="A52" t="s">
        <v>2</v>
      </c>
      <c r="B52" t="s">
        <v>33</v>
      </c>
      <c r="C52">
        <v>6.087E-2</v>
      </c>
      <c r="D52">
        <v>0.42474000000000001</v>
      </c>
      <c r="E52">
        <v>0.91520999999999997</v>
      </c>
      <c r="F52">
        <v>1.9050000000000001E-2</v>
      </c>
      <c r="G52">
        <v>0.19084999999999999</v>
      </c>
      <c r="H52">
        <v>1.362E-2</v>
      </c>
      <c r="J52" s="4">
        <f t="shared" si="0"/>
        <v>16.365191361984177</v>
      </c>
      <c r="K52" s="4">
        <f t="shared" si="1"/>
        <v>3.1353704616395595</v>
      </c>
      <c r="M52" t="s">
        <v>2</v>
      </c>
      <c r="N52" t="s">
        <v>33</v>
      </c>
      <c r="O52">
        <v>3.6060000000000002E-2</v>
      </c>
      <c r="P52">
        <v>0.14449999999999999</v>
      </c>
      <c r="Q52">
        <v>0.17502000000000001</v>
      </c>
      <c r="R52">
        <v>8.9300000000000004E-3</v>
      </c>
      <c r="S52">
        <v>5.033E-2</v>
      </c>
      <c r="T52">
        <v>5.1900000000000002E-3</v>
      </c>
      <c r="V52" s="7">
        <f t="shared" si="2"/>
        <v>0.25858502530258443</v>
      </c>
      <c r="X52" t="s">
        <v>2</v>
      </c>
      <c r="Y52" t="s">
        <v>33</v>
      </c>
      <c r="Z52">
        <v>0.14000000000000001</v>
      </c>
      <c r="AA52">
        <v>-5.568E-2</v>
      </c>
      <c r="AB52">
        <v>0.10706</v>
      </c>
      <c r="AC52" s="7">
        <v>0.98692999999999997</v>
      </c>
    </row>
    <row r="53" spans="1:30" x14ac:dyDescent="0.25">
      <c r="A53" t="s">
        <v>2</v>
      </c>
      <c r="B53" t="s">
        <v>34</v>
      </c>
      <c r="C53">
        <v>6.9839999999999999E-2</v>
      </c>
      <c r="D53">
        <v>0.49086000000000002</v>
      </c>
      <c r="E53">
        <v>1.05637</v>
      </c>
      <c r="F53">
        <v>2.215E-2</v>
      </c>
      <c r="G53">
        <v>0.22402</v>
      </c>
      <c r="H53">
        <v>1.5900000000000001E-2</v>
      </c>
      <c r="J53" s="4">
        <f t="shared" si="0"/>
        <v>16.41718416906108</v>
      </c>
      <c r="K53" s="4">
        <f t="shared" si="1"/>
        <v>3.2076174112256588</v>
      </c>
      <c r="M53" t="s">
        <v>2</v>
      </c>
      <c r="N53" t="s">
        <v>34</v>
      </c>
      <c r="O53">
        <v>4.1360000000000001E-2</v>
      </c>
      <c r="P53">
        <v>0.16605</v>
      </c>
      <c r="Q53">
        <v>0.1991</v>
      </c>
      <c r="R53">
        <v>1.042E-2</v>
      </c>
      <c r="S53">
        <v>5.8930000000000003E-2</v>
      </c>
      <c r="T53">
        <v>6.13E-3</v>
      </c>
      <c r="V53" s="7">
        <f t="shared" si="2"/>
        <v>0.25649499239013596</v>
      </c>
      <c r="X53" t="s">
        <v>2</v>
      </c>
      <c r="Y53" t="s">
        <v>34</v>
      </c>
      <c r="Z53">
        <v>0.14000000000000001</v>
      </c>
      <c r="AA53">
        <v>-6.1359999999999998E-2</v>
      </c>
      <c r="AB53">
        <v>0.12441000000000001</v>
      </c>
      <c r="AC53" s="7">
        <v>0.98692999999999997</v>
      </c>
    </row>
    <row r="54" spans="1:30" x14ac:dyDescent="0.25">
      <c r="A54" t="s">
        <v>2</v>
      </c>
      <c r="B54" t="s">
        <v>35</v>
      </c>
      <c r="C54">
        <v>5.8189999999999999E-2</v>
      </c>
      <c r="D54">
        <v>0.33434000000000003</v>
      </c>
      <c r="E54">
        <v>0.79229000000000005</v>
      </c>
      <c r="F54">
        <v>1.8519999999999998E-2</v>
      </c>
      <c r="G54">
        <v>0.18673000000000001</v>
      </c>
      <c r="H54">
        <v>1.3950000000000001E-2</v>
      </c>
      <c r="J54" s="4">
        <f t="shared" si="0"/>
        <v>14.486653430399295</v>
      </c>
      <c r="K54" s="4">
        <f t="shared" si="1"/>
        <v>3.2089706135074758</v>
      </c>
      <c r="M54" t="s">
        <v>2</v>
      </c>
      <c r="N54" t="s">
        <v>35</v>
      </c>
      <c r="O54">
        <v>3.2210000000000003E-2</v>
      </c>
      <c r="P54">
        <v>0.11635</v>
      </c>
      <c r="Q54">
        <v>0.14693000000000001</v>
      </c>
      <c r="R54">
        <v>8.7899999999999992E-3</v>
      </c>
      <c r="S54">
        <v>4.9880000000000001E-2</v>
      </c>
      <c r="T54">
        <v>5.1399999999999996E-3</v>
      </c>
      <c r="V54" s="7">
        <f t="shared" si="2"/>
        <v>0.25590803549806979</v>
      </c>
      <c r="X54" t="s">
        <v>2</v>
      </c>
      <c r="Y54" t="s">
        <v>35</v>
      </c>
      <c r="Z54">
        <v>0.12</v>
      </c>
      <c r="AA54">
        <v>-3.9629999999999999E-2</v>
      </c>
      <c r="AB54">
        <v>0.10310999999999999</v>
      </c>
      <c r="AC54" s="7">
        <v>0.98692999999999997</v>
      </c>
    </row>
    <row r="55" spans="1:30" x14ac:dyDescent="0.25">
      <c r="A55" t="s">
        <v>2</v>
      </c>
      <c r="B55" t="s">
        <v>36</v>
      </c>
      <c r="C55">
        <v>6.7030000000000006E-2</v>
      </c>
      <c r="D55">
        <v>0.38736999999999999</v>
      </c>
      <c r="E55">
        <v>0.91708999999999996</v>
      </c>
      <c r="F55">
        <v>2.138E-2</v>
      </c>
      <c r="G55">
        <v>0.21911</v>
      </c>
      <c r="H55">
        <v>1.6160000000000001E-2</v>
      </c>
      <c r="J55" s="4">
        <f t="shared" si="0"/>
        <v>14.569857511714639</v>
      </c>
      <c r="K55" s="4">
        <f t="shared" si="1"/>
        <v>3.2688348500671336</v>
      </c>
      <c r="M55" t="s">
        <v>2</v>
      </c>
      <c r="N55" t="s">
        <v>36</v>
      </c>
      <c r="O55">
        <v>3.7240000000000002E-2</v>
      </c>
      <c r="P55">
        <v>0.13569999999999999</v>
      </c>
      <c r="Q55">
        <v>0.16908000000000001</v>
      </c>
      <c r="R55">
        <v>1.0359999999999999E-2</v>
      </c>
      <c r="S55">
        <v>5.851E-2</v>
      </c>
      <c r="T55">
        <v>6.1000000000000004E-3</v>
      </c>
      <c r="V55" s="7">
        <f t="shared" si="2"/>
        <v>0.25611433906175146</v>
      </c>
      <c r="X55" t="s">
        <v>2</v>
      </c>
      <c r="Y55" t="s">
        <v>36</v>
      </c>
      <c r="Z55">
        <v>0.14000000000000001</v>
      </c>
      <c r="AA55">
        <v>-4.446E-2</v>
      </c>
      <c r="AB55">
        <v>0.1198</v>
      </c>
      <c r="AC55" s="7">
        <v>0.98692999999999997</v>
      </c>
    </row>
    <row r="56" spans="1:30" x14ac:dyDescent="0.25">
      <c r="A56" t="s">
        <v>2</v>
      </c>
      <c r="B56" t="s">
        <v>37</v>
      </c>
      <c r="C56">
        <v>6.6089999999999996E-2</v>
      </c>
      <c r="D56">
        <v>0.37818000000000002</v>
      </c>
      <c r="E56">
        <v>0.90188999999999997</v>
      </c>
      <c r="F56">
        <v>2.121E-2</v>
      </c>
      <c r="G56">
        <v>0.21615000000000001</v>
      </c>
      <c r="H56">
        <v>1.634E-2</v>
      </c>
      <c r="J56" s="4">
        <f t="shared" si="0"/>
        <v>14.436703975299114</v>
      </c>
      <c r="K56" s="4">
        <f t="shared" si="1"/>
        <v>3.2705401724920566</v>
      </c>
      <c r="M56" t="s">
        <v>2</v>
      </c>
      <c r="N56" t="s">
        <v>37</v>
      </c>
      <c r="O56">
        <v>3.4889999999999997E-2</v>
      </c>
      <c r="P56">
        <v>0.13222</v>
      </c>
      <c r="Q56">
        <v>0.1666</v>
      </c>
      <c r="R56">
        <v>0.01</v>
      </c>
      <c r="S56">
        <v>5.7860000000000002E-2</v>
      </c>
      <c r="T56">
        <v>6.2100000000000002E-3</v>
      </c>
      <c r="V56" s="7">
        <f t="shared" si="2"/>
        <v>0.25488480242021178</v>
      </c>
      <c r="X56" t="s">
        <v>2</v>
      </c>
      <c r="Y56" t="s">
        <v>37</v>
      </c>
      <c r="Z56">
        <v>0.12</v>
      </c>
      <c r="AA56">
        <v>-4.0809999999999999E-2</v>
      </c>
      <c r="AB56">
        <v>0.11616</v>
      </c>
      <c r="AC56" s="7">
        <v>0.98692999999999997</v>
      </c>
    </row>
    <row r="57" spans="1:30" x14ac:dyDescent="0.25">
      <c r="A57" t="s">
        <v>2</v>
      </c>
      <c r="B57" t="s">
        <v>38</v>
      </c>
      <c r="C57">
        <v>6.6699999999999995E-2</v>
      </c>
      <c r="D57">
        <v>0.38207000000000002</v>
      </c>
      <c r="E57">
        <v>0.91081999999999996</v>
      </c>
      <c r="F57">
        <v>2.1250000000000002E-2</v>
      </c>
      <c r="G57">
        <v>0.21828</v>
      </c>
      <c r="H57">
        <v>1.634E-2</v>
      </c>
      <c r="J57" s="4">
        <f t="shared" si="0"/>
        <v>14.490075750311631</v>
      </c>
      <c r="K57" s="4">
        <f t="shared" si="1"/>
        <v>3.2725637181409297</v>
      </c>
      <c r="M57" t="s">
        <v>2</v>
      </c>
      <c r="N57" t="s">
        <v>38</v>
      </c>
      <c r="O57">
        <v>3.5159999999999997E-2</v>
      </c>
      <c r="P57">
        <v>0.1336</v>
      </c>
      <c r="Q57">
        <v>0.16830000000000001</v>
      </c>
      <c r="R57">
        <v>1.0070000000000001E-2</v>
      </c>
      <c r="S57">
        <v>5.8360000000000002E-2</v>
      </c>
      <c r="T57">
        <v>6.2599999999999999E-3</v>
      </c>
      <c r="V57" s="7">
        <f t="shared" si="2"/>
        <v>0.25488096269793126</v>
      </c>
      <c r="X57" t="s">
        <v>2</v>
      </c>
      <c r="Y57" t="s">
        <v>38</v>
      </c>
      <c r="Z57">
        <v>0.12</v>
      </c>
      <c r="AA57">
        <v>-4.1160000000000002E-2</v>
      </c>
      <c r="AB57">
        <v>0.11722</v>
      </c>
      <c r="AC57" s="7">
        <v>0.98692999999999997</v>
      </c>
    </row>
    <row r="58" spans="1:30" x14ac:dyDescent="0.25">
      <c r="A58" t="s">
        <v>2</v>
      </c>
      <c r="B58" t="s">
        <v>39</v>
      </c>
      <c r="C58">
        <v>6.2309999999999997E-2</v>
      </c>
      <c r="D58">
        <v>0.43663000000000002</v>
      </c>
      <c r="E58">
        <v>0.94093000000000004</v>
      </c>
      <c r="F58">
        <v>1.9539999999999998E-2</v>
      </c>
      <c r="G58">
        <v>0.19699</v>
      </c>
      <c r="H58">
        <v>1.396E-2</v>
      </c>
      <c r="J58" s="4">
        <f t="shared" si="0"/>
        <v>16.434088299759946</v>
      </c>
      <c r="K58" s="4">
        <f t="shared" si="1"/>
        <v>3.1614508104638102</v>
      </c>
      <c r="M58" t="s">
        <v>2</v>
      </c>
      <c r="N58" t="s">
        <v>39</v>
      </c>
      <c r="O58">
        <v>3.6990000000000002E-2</v>
      </c>
      <c r="P58">
        <v>0.14829999999999999</v>
      </c>
      <c r="Q58">
        <v>0.17917</v>
      </c>
      <c r="R58">
        <v>9.1999999999999998E-3</v>
      </c>
      <c r="S58">
        <v>5.194E-2</v>
      </c>
      <c r="T58">
        <v>5.3699999999999998E-3</v>
      </c>
      <c r="V58" s="7">
        <f t="shared" si="2"/>
        <v>0.25801024928757871</v>
      </c>
      <c r="X58" t="s">
        <v>2</v>
      </c>
      <c r="Y58" t="s">
        <v>39</v>
      </c>
      <c r="Z58">
        <v>0.14000000000000001</v>
      </c>
      <c r="AA58">
        <v>-5.6529999999999997E-2</v>
      </c>
      <c r="AB58">
        <v>0.11017</v>
      </c>
      <c r="AC58" s="7">
        <v>0.98692999999999997</v>
      </c>
    </row>
    <row r="59" spans="1:30" x14ac:dyDescent="0.25">
      <c r="A59" t="s">
        <v>2</v>
      </c>
      <c r="B59" t="s">
        <v>40</v>
      </c>
      <c r="C59">
        <v>6.8680000000000005E-2</v>
      </c>
      <c r="D59">
        <v>0.48516999999999999</v>
      </c>
      <c r="E59">
        <v>1.05586</v>
      </c>
      <c r="F59">
        <v>2.2499999999999999E-2</v>
      </c>
      <c r="G59">
        <v>0.22811000000000001</v>
      </c>
      <c r="H59">
        <v>1.6330000000000001E-2</v>
      </c>
      <c r="J59" s="4">
        <f t="shared" si="0"/>
        <v>16.455585526927727</v>
      </c>
      <c r="K59" s="4">
        <f t="shared" si="1"/>
        <v>3.3213453698311004</v>
      </c>
      <c r="M59" t="s">
        <v>2</v>
      </c>
      <c r="N59" t="s">
        <v>40</v>
      </c>
      <c r="O59">
        <v>3.9010000000000003E-2</v>
      </c>
      <c r="P59">
        <v>0.16238</v>
      </c>
      <c r="Q59">
        <v>0.19741</v>
      </c>
      <c r="R59">
        <v>1.0279999999999999E-2</v>
      </c>
      <c r="S59">
        <v>5.9470000000000002E-2</v>
      </c>
      <c r="T59">
        <v>6.3499999999999997E-3</v>
      </c>
      <c r="V59" s="7">
        <f t="shared" si="2"/>
        <v>0.2530573095675806</v>
      </c>
      <c r="X59" t="s">
        <v>2</v>
      </c>
      <c r="Y59" t="s">
        <v>40</v>
      </c>
      <c r="Z59">
        <v>0.12</v>
      </c>
      <c r="AA59">
        <v>-4.9880000000000001E-2</v>
      </c>
      <c r="AB59">
        <v>0.12705</v>
      </c>
      <c r="AC59" s="7">
        <v>0.98692999999999997</v>
      </c>
    </row>
    <row r="60" spans="1:30" x14ac:dyDescent="0.25">
      <c r="A60" t="s">
        <v>2</v>
      </c>
      <c r="B60" t="s">
        <v>41</v>
      </c>
      <c r="C60">
        <v>5.9569999999999998E-2</v>
      </c>
      <c r="D60">
        <v>0.34222999999999998</v>
      </c>
      <c r="E60">
        <v>0.81294</v>
      </c>
      <c r="F60">
        <v>1.8919999999999999E-2</v>
      </c>
      <c r="G60">
        <v>0.19264000000000001</v>
      </c>
      <c r="H60">
        <v>1.426E-2</v>
      </c>
      <c r="J60" s="4">
        <f t="shared" si="0"/>
        <v>14.531644204851753</v>
      </c>
      <c r="K60" s="4">
        <f t="shared" si="1"/>
        <v>3.2338425381903644</v>
      </c>
      <c r="M60" t="s">
        <v>2</v>
      </c>
      <c r="N60" t="s">
        <v>41</v>
      </c>
      <c r="O60">
        <v>3.304E-2</v>
      </c>
      <c r="P60">
        <v>0.11942999999999999</v>
      </c>
      <c r="Q60">
        <v>0.15043000000000001</v>
      </c>
      <c r="R60">
        <v>9.0900000000000009E-3</v>
      </c>
      <c r="S60">
        <v>5.1490000000000001E-2</v>
      </c>
      <c r="T60">
        <v>5.3299999999999997E-3</v>
      </c>
      <c r="V60" s="7">
        <f t="shared" si="2"/>
        <v>0.25601849280835232</v>
      </c>
      <c r="X60" t="s">
        <v>2</v>
      </c>
      <c r="Y60" t="s">
        <v>41</v>
      </c>
      <c r="Z60">
        <v>0.12</v>
      </c>
      <c r="AA60">
        <v>-4.011E-2</v>
      </c>
      <c r="AB60">
        <v>0.10603</v>
      </c>
      <c r="AC60" s="7">
        <v>0.98692999999999997</v>
      </c>
    </row>
    <row r="61" spans="1:30" x14ac:dyDescent="0.25">
      <c r="A61" t="s">
        <v>2</v>
      </c>
      <c r="B61" t="s">
        <v>42</v>
      </c>
      <c r="C61">
        <v>6.6699999999999995E-2</v>
      </c>
      <c r="D61">
        <v>0.39363999999999999</v>
      </c>
      <c r="E61">
        <v>0.93455999999999995</v>
      </c>
      <c r="F61">
        <v>2.1760000000000002E-2</v>
      </c>
      <c r="G61">
        <v>0.22409000000000001</v>
      </c>
      <c r="H61">
        <v>1.652E-2</v>
      </c>
      <c r="J61" s="4">
        <f t="shared" si="0"/>
        <v>14.786530767765289</v>
      </c>
      <c r="K61" s="4">
        <f t="shared" si="1"/>
        <v>3.3596701649175418</v>
      </c>
      <c r="M61" t="s">
        <v>2</v>
      </c>
      <c r="N61" t="s">
        <v>42</v>
      </c>
      <c r="O61">
        <v>3.6150000000000002E-2</v>
      </c>
      <c r="P61">
        <v>0.13685</v>
      </c>
      <c r="Q61">
        <v>0.17077999999999999</v>
      </c>
      <c r="R61">
        <v>1.0460000000000001E-2</v>
      </c>
      <c r="S61">
        <v>5.9709999999999999E-2</v>
      </c>
      <c r="T61">
        <v>6.28E-3</v>
      </c>
      <c r="V61" s="7">
        <f t="shared" si="2"/>
        <v>0.25356761420890983</v>
      </c>
      <c r="X61" t="s">
        <v>2</v>
      </c>
      <c r="Y61" t="s">
        <v>42</v>
      </c>
      <c r="Z61">
        <v>0.12</v>
      </c>
      <c r="AA61">
        <v>-3.857E-2</v>
      </c>
      <c r="AB61">
        <v>0.11842999999999999</v>
      </c>
      <c r="AC61" s="7">
        <v>0.98692999999999997</v>
      </c>
    </row>
    <row r="62" spans="1:30" x14ac:dyDescent="0.25">
      <c r="A62" t="s">
        <v>2</v>
      </c>
      <c r="B62" t="s">
        <v>43</v>
      </c>
      <c r="C62">
        <v>6.5180000000000002E-2</v>
      </c>
      <c r="D62">
        <v>0.37758000000000003</v>
      </c>
      <c r="E62">
        <v>0.89888000000000001</v>
      </c>
      <c r="F62">
        <v>2.094E-2</v>
      </c>
      <c r="G62">
        <v>0.21476000000000001</v>
      </c>
      <c r="H62">
        <v>1.593E-2</v>
      </c>
      <c r="J62" s="4">
        <f t="shared" si="0"/>
        <v>14.612640862322394</v>
      </c>
      <c r="K62" s="4">
        <f t="shared" si="1"/>
        <v>3.2948757287511508</v>
      </c>
      <c r="M62" t="s">
        <v>2</v>
      </c>
      <c r="N62" t="s">
        <v>43</v>
      </c>
      <c r="O62">
        <v>3.5490000000000001E-2</v>
      </c>
      <c r="P62">
        <v>0.13239000000000001</v>
      </c>
      <c r="Q62">
        <v>0.16686000000000001</v>
      </c>
      <c r="R62">
        <v>1.0059999999999999E-2</v>
      </c>
      <c r="S62">
        <v>5.7509999999999999E-2</v>
      </c>
      <c r="T62">
        <v>6.0499999999999998E-3</v>
      </c>
      <c r="V62" s="7">
        <f t="shared" si="2"/>
        <v>0.25630307480841297</v>
      </c>
      <c r="X62" t="s">
        <v>2</v>
      </c>
      <c r="Y62" t="s">
        <v>43</v>
      </c>
      <c r="Z62">
        <v>0.12</v>
      </c>
      <c r="AA62">
        <v>-4.1149999999999999E-2</v>
      </c>
      <c r="AB62">
        <v>0.11612</v>
      </c>
      <c r="AC62" s="7">
        <v>0.98692999999999997</v>
      </c>
    </row>
    <row r="63" spans="1:30" x14ac:dyDescent="0.25">
      <c r="A63" t="s">
        <v>2</v>
      </c>
      <c r="B63" t="s">
        <v>44</v>
      </c>
      <c r="C63">
        <v>6.6320000000000004E-2</v>
      </c>
      <c r="D63">
        <v>0.39198</v>
      </c>
      <c r="E63">
        <v>0.93276000000000003</v>
      </c>
      <c r="F63">
        <v>2.1870000000000001E-2</v>
      </c>
      <c r="G63">
        <v>0.22373000000000001</v>
      </c>
      <c r="H63">
        <v>1.6500000000000001E-2</v>
      </c>
      <c r="J63" s="4">
        <f t="shared" si="0"/>
        <v>14.791002005922248</v>
      </c>
      <c r="K63" s="4">
        <f t="shared" si="1"/>
        <v>3.3734921592279856</v>
      </c>
      <c r="L63" s="7"/>
      <c r="M63" t="s">
        <v>2</v>
      </c>
      <c r="N63" t="s">
        <v>44</v>
      </c>
      <c r="O63">
        <v>3.5540000000000002E-2</v>
      </c>
      <c r="P63">
        <v>0.13603000000000001</v>
      </c>
      <c r="Q63">
        <v>0.17116999999999999</v>
      </c>
      <c r="R63">
        <v>1.042E-2</v>
      </c>
      <c r="S63">
        <v>5.953E-2</v>
      </c>
      <c r="T63">
        <v>6.2399999999999999E-3</v>
      </c>
      <c r="V63" s="7">
        <f t="shared" si="2"/>
        <v>0.25341164799535437</v>
      </c>
      <c r="W63" s="7">
        <f>AVERAGE(V58:V63)/AVERAGE(V52:V57)-1</f>
        <v>-4.2292298550943297E-3</v>
      </c>
      <c r="X63" t="s">
        <v>2</v>
      </c>
      <c r="Y63" t="s">
        <v>44</v>
      </c>
      <c r="Z63">
        <v>0.1</v>
      </c>
      <c r="AA63">
        <v>-3.5349999999999999E-2</v>
      </c>
      <c r="AB63">
        <v>0.11873</v>
      </c>
      <c r="AC63" s="7">
        <v>0.98692999999999997</v>
      </c>
      <c r="AD63" s="7"/>
    </row>
    <row r="64" spans="1:30" x14ac:dyDescent="0.25">
      <c r="A64" t="s">
        <v>3</v>
      </c>
      <c r="B64" t="s">
        <v>33</v>
      </c>
      <c r="C64">
        <v>0.36728</v>
      </c>
      <c r="D64">
        <v>0.47406999999999999</v>
      </c>
      <c r="E64">
        <v>0.54276000000000002</v>
      </c>
      <c r="F64">
        <v>0.25186999999999998</v>
      </c>
      <c r="G64">
        <v>0.36968000000000001</v>
      </c>
      <c r="H64">
        <v>0.22352</v>
      </c>
      <c r="J64" s="4">
        <f t="shared" si="0"/>
        <v>1.6453771939193278</v>
      </c>
      <c r="K64" s="4">
        <f t="shared" si="1"/>
        <v>1.0065345240688304</v>
      </c>
      <c r="M64" t="s">
        <v>3</v>
      </c>
      <c r="N64" t="s">
        <v>33</v>
      </c>
      <c r="O64">
        <v>6.7799999999999999E-2</v>
      </c>
      <c r="P64">
        <v>5.6149999999999999E-2</v>
      </c>
      <c r="Q64">
        <v>4.5510000000000002E-2</v>
      </c>
      <c r="R64">
        <v>3.9199999999999999E-2</v>
      </c>
      <c r="S64">
        <v>2.8639999999999999E-2</v>
      </c>
      <c r="T64">
        <v>2.5729999999999999E-2</v>
      </c>
      <c r="V64" s="7">
        <f t="shared" si="2"/>
        <v>0.11799406059627304</v>
      </c>
      <c r="X64" t="s">
        <v>3</v>
      </c>
      <c r="Y64" t="s">
        <v>33</v>
      </c>
      <c r="Z64">
        <v>7.08</v>
      </c>
      <c r="AA64">
        <v>-0.17262</v>
      </c>
      <c r="AB64">
        <v>0.35367999999999999</v>
      </c>
      <c r="AC64" s="7">
        <v>0.88234999999999997</v>
      </c>
    </row>
    <row r="65" spans="1:30" x14ac:dyDescent="0.25">
      <c r="A65" t="s">
        <v>3</v>
      </c>
      <c r="B65" t="s">
        <v>34</v>
      </c>
      <c r="C65">
        <v>0.99992000000000003</v>
      </c>
      <c r="D65">
        <v>1.37788</v>
      </c>
      <c r="E65">
        <v>1.6064400000000001</v>
      </c>
      <c r="F65">
        <v>0.64836000000000005</v>
      </c>
      <c r="G65">
        <v>1.12564</v>
      </c>
      <c r="H65">
        <v>0.56874999999999998</v>
      </c>
      <c r="J65" s="4">
        <f t="shared" si="0"/>
        <v>1.8538134350910902</v>
      </c>
      <c r="K65" s="4">
        <f t="shared" si="1"/>
        <v>1.1257300584046723</v>
      </c>
      <c r="M65" t="s">
        <v>3</v>
      </c>
      <c r="N65" t="s">
        <v>34</v>
      </c>
      <c r="O65">
        <v>0.19750999999999999</v>
      </c>
      <c r="P65">
        <v>0.12667999999999999</v>
      </c>
      <c r="Q65">
        <v>7.6369999999999993E-2</v>
      </c>
      <c r="R65">
        <v>0.13366</v>
      </c>
      <c r="S65">
        <v>8.0810000000000007E-2</v>
      </c>
      <c r="T65">
        <v>0.10062</v>
      </c>
      <c r="V65" s="7">
        <f t="shared" si="2"/>
        <v>0.11311065767450242</v>
      </c>
      <c r="X65" t="s">
        <v>3</v>
      </c>
      <c r="Y65" t="s">
        <v>34</v>
      </c>
      <c r="Z65">
        <v>3.89</v>
      </c>
      <c r="AA65">
        <v>-0.35049000000000002</v>
      </c>
      <c r="AB65">
        <v>1.06023</v>
      </c>
      <c r="AC65" s="7">
        <v>0.92157</v>
      </c>
    </row>
    <row r="66" spans="1:30" x14ac:dyDescent="0.25">
      <c r="A66" t="s">
        <v>3</v>
      </c>
      <c r="B66" t="s">
        <v>35</v>
      </c>
      <c r="C66">
        <v>2.6800000000000001E-3</v>
      </c>
      <c r="D66">
        <v>6.8100000000000001E-3</v>
      </c>
      <c r="E66">
        <v>9.8700000000000003E-3</v>
      </c>
      <c r="F66">
        <v>1.6000000000000001E-3</v>
      </c>
      <c r="G66">
        <v>4.1799999999999997E-3</v>
      </c>
      <c r="H66">
        <v>1.33E-3</v>
      </c>
      <c r="J66" s="4">
        <f t="shared" si="0"/>
        <v>3.7183600713012472</v>
      </c>
      <c r="K66" s="4">
        <f t="shared" si="1"/>
        <v>1.5597014925373132</v>
      </c>
      <c r="M66" t="s">
        <v>3</v>
      </c>
      <c r="N66" t="s">
        <v>35</v>
      </c>
      <c r="O66">
        <v>7.5000000000000002E-4</v>
      </c>
      <c r="P66">
        <v>1.07E-3</v>
      </c>
      <c r="Q66">
        <v>9.5E-4</v>
      </c>
      <c r="R66">
        <v>3.5E-4</v>
      </c>
      <c r="S66">
        <v>5.8E-4</v>
      </c>
      <c r="T66">
        <v>2.4000000000000001E-4</v>
      </c>
      <c r="V66" s="7">
        <f t="shared" si="2"/>
        <v>0.14884775217227048</v>
      </c>
      <c r="X66" t="s">
        <v>3</v>
      </c>
      <c r="Y66" t="s">
        <v>35</v>
      </c>
      <c r="Z66">
        <v>0.45</v>
      </c>
      <c r="AA66">
        <v>-7.6999999999999996E-4</v>
      </c>
      <c r="AB66">
        <v>3.4199999999999999E-3</v>
      </c>
      <c r="AC66" s="7">
        <v>0.96077999999999997</v>
      </c>
    </row>
    <row r="67" spans="1:30" x14ac:dyDescent="0.25">
      <c r="A67" t="s">
        <v>3</v>
      </c>
      <c r="B67" t="s">
        <v>36</v>
      </c>
      <c r="C67">
        <v>9.2399999999999999E-3</v>
      </c>
      <c r="D67">
        <v>2.0729999999999998E-2</v>
      </c>
      <c r="E67">
        <v>3.1379999999999998E-2</v>
      </c>
      <c r="F67">
        <v>4.9300000000000004E-3</v>
      </c>
      <c r="G67">
        <v>1.5810000000000001E-2</v>
      </c>
      <c r="H67">
        <v>4.28E-3</v>
      </c>
      <c r="J67" s="4">
        <f t="shared" si="0"/>
        <v>3.6813008130081295</v>
      </c>
      <c r="K67" s="4">
        <f t="shared" si="1"/>
        <v>1.7110389610389611</v>
      </c>
      <c r="M67" t="s">
        <v>3</v>
      </c>
      <c r="N67" t="s">
        <v>36</v>
      </c>
      <c r="O67">
        <v>2.8700000000000002E-3</v>
      </c>
      <c r="P67">
        <v>3.64E-3</v>
      </c>
      <c r="Q67">
        <v>2.7699999999999999E-3</v>
      </c>
      <c r="R67">
        <v>1.4400000000000001E-3</v>
      </c>
      <c r="S67">
        <v>2.0699999999999998E-3</v>
      </c>
      <c r="T67">
        <v>1.0200000000000001E-3</v>
      </c>
      <c r="V67" s="7">
        <f t="shared" si="2"/>
        <v>0.1598934815329397</v>
      </c>
      <c r="X67" t="s">
        <v>3</v>
      </c>
      <c r="Y67" t="s">
        <v>36</v>
      </c>
      <c r="Z67">
        <v>0.28999999999999998</v>
      </c>
      <c r="AA67">
        <v>-2.47E-3</v>
      </c>
      <c r="AB67">
        <v>1.193E-2</v>
      </c>
      <c r="AC67" s="7">
        <v>0.98038999999999998</v>
      </c>
    </row>
    <row r="68" spans="1:30" x14ac:dyDescent="0.25">
      <c r="A68" t="s">
        <v>3</v>
      </c>
      <c r="B68" t="s">
        <v>37</v>
      </c>
      <c r="C68">
        <v>3.3E-3</v>
      </c>
      <c r="D68">
        <v>6.6100000000000004E-3</v>
      </c>
      <c r="E68">
        <v>1.086E-2</v>
      </c>
      <c r="F68">
        <v>1.7099999999999999E-3</v>
      </c>
      <c r="G68">
        <v>5.2300000000000003E-3</v>
      </c>
      <c r="H68">
        <v>1.5900000000000001E-3</v>
      </c>
      <c r="J68" s="4">
        <f t="shared" si="0"/>
        <v>3.439393939393939</v>
      </c>
      <c r="K68" s="4">
        <f t="shared" si="1"/>
        <v>1.584848484848485</v>
      </c>
      <c r="M68" t="s">
        <v>3</v>
      </c>
      <c r="N68" t="s">
        <v>37</v>
      </c>
      <c r="O68">
        <v>8.4999999999999995E-4</v>
      </c>
      <c r="P68">
        <v>1.3500000000000001E-3</v>
      </c>
      <c r="Q68">
        <v>1.2700000000000001E-3</v>
      </c>
      <c r="R68">
        <v>3.8999999999999999E-4</v>
      </c>
      <c r="S68">
        <v>9.3999999999999997E-4</v>
      </c>
      <c r="T68">
        <v>4.4999999999999999E-4</v>
      </c>
      <c r="V68" s="7">
        <f t="shared" si="2"/>
        <v>0.17918088737201365</v>
      </c>
      <c r="X68" t="s">
        <v>3</v>
      </c>
      <c r="Y68" t="s">
        <v>37</v>
      </c>
      <c r="Z68">
        <v>0.78</v>
      </c>
      <c r="AA68">
        <v>-1.5299999999999999E-3</v>
      </c>
      <c r="AB68">
        <v>3.7699999999999999E-3</v>
      </c>
      <c r="AC68" s="7">
        <v>0.96077999999999997</v>
      </c>
    </row>
    <row r="69" spans="1:30" x14ac:dyDescent="0.25">
      <c r="A69" t="s">
        <v>3</v>
      </c>
      <c r="B69" t="s">
        <v>38</v>
      </c>
      <c r="C69">
        <v>3.2299999999999998E-3</v>
      </c>
      <c r="D69">
        <v>6.5900000000000004E-3</v>
      </c>
      <c r="E69">
        <v>1.09E-2</v>
      </c>
      <c r="F69">
        <v>1.6100000000000001E-3</v>
      </c>
      <c r="G69">
        <v>5.2399999999999999E-3</v>
      </c>
      <c r="H69">
        <v>1.5200000000000001E-3</v>
      </c>
      <c r="J69" s="4">
        <f t="shared" ref="J69" si="3">AVERAGE(D69,E69,G69)/AVERAGE(C69,F69,H69)</f>
        <v>3.5738993710691824</v>
      </c>
      <c r="K69" s="4">
        <f t="shared" ref="K69" si="4">MIN(D69,E69,G69)/MAX(C69,F69,H69)</f>
        <v>1.6222910216718267</v>
      </c>
      <c r="M69" t="s">
        <v>3</v>
      </c>
      <c r="N69" t="s">
        <v>38</v>
      </c>
      <c r="O69">
        <v>9.2000000000000003E-4</v>
      </c>
      <c r="P69">
        <v>1.3600000000000001E-3</v>
      </c>
      <c r="Q69">
        <v>1.2899999999999999E-3</v>
      </c>
      <c r="R69">
        <v>3.8999999999999999E-4</v>
      </c>
      <c r="S69">
        <v>9.3000000000000005E-4</v>
      </c>
      <c r="T69">
        <v>5.1000000000000004E-4</v>
      </c>
      <c r="V69" s="7">
        <f t="shared" ref="V69:V132" si="5">AVERAGE(O69:T69)/AVERAGE(C69:H69)</f>
        <v>0.18563080096253007</v>
      </c>
      <c r="X69" t="s">
        <v>3</v>
      </c>
      <c r="Y69" t="s">
        <v>38</v>
      </c>
      <c r="Z69">
        <v>0.82</v>
      </c>
      <c r="AA69">
        <v>-1.5E-3</v>
      </c>
      <c r="AB69">
        <v>3.79E-3</v>
      </c>
      <c r="AC69" s="7">
        <v>0.96077999999999997</v>
      </c>
    </row>
    <row r="70" spans="1:30" x14ac:dyDescent="0.25">
      <c r="A70" t="s">
        <v>3</v>
      </c>
      <c r="B70" t="s">
        <v>39</v>
      </c>
      <c r="C70">
        <v>0.72489999999999999</v>
      </c>
      <c r="D70">
        <v>1.00427</v>
      </c>
      <c r="E70">
        <v>1.1741200000000001</v>
      </c>
      <c r="F70">
        <v>0.46028999999999998</v>
      </c>
      <c r="G70">
        <v>0.76066</v>
      </c>
      <c r="H70">
        <v>0.39040000000000002</v>
      </c>
      <c r="J70" s="4">
        <f t="shared" ref="J70:J123" si="6">AVERAGE(D70,E70,G70)/AVERAGE(C70,F70,H70)</f>
        <v>1.8653647205173938</v>
      </c>
      <c r="K70" s="4">
        <f t="shared" ref="K70:K123" si="7">MIN(D70,E70,G70)/MAX(C70,F70,H70)</f>
        <v>1.0493309421989241</v>
      </c>
      <c r="M70" t="s">
        <v>3</v>
      </c>
      <c r="N70" t="s">
        <v>39</v>
      </c>
      <c r="O70">
        <v>0.14682000000000001</v>
      </c>
      <c r="P70">
        <v>0.1202</v>
      </c>
      <c r="Q70">
        <v>9.1450000000000004E-2</v>
      </c>
      <c r="R70">
        <v>9.6909999999999996E-2</v>
      </c>
      <c r="S70">
        <v>7.0000000000000007E-2</v>
      </c>
      <c r="T70">
        <v>6.4339999999999994E-2</v>
      </c>
      <c r="V70" s="7">
        <f t="shared" si="5"/>
        <v>0.1306239257172222</v>
      </c>
      <c r="X70" t="s">
        <v>3</v>
      </c>
      <c r="Y70" t="s">
        <v>39</v>
      </c>
      <c r="Z70">
        <v>5.95</v>
      </c>
      <c r="AA70">
        <v>-0.33517000000000002</v>
      </c>
      <c r="AB70">
        <v>0.71813000000000005</v>
      </c>
      <c r="AC70" s="7">
        <v>0.88234999999999997</v>
      </c>
    </row>
    <row r="71" spans="1:30" x14ac:dyDescent="0.25">
      <c r="A71" t="s">
        <v>3</v>
      </c>
      <c r="B71" t="s">
        <v>40</v>
      </c>
      <c r="C71">
        <v>1.5044</v>
      </c>
      <c r="D71">
        <v>2.1839400000000002</v>
      </c>
      <c r="E71">
        <v>2.41676</v>
      </c>
      <c r="F71">
        <v>1.10056</v>
      </c>
      <c r="G71">
        <v>1.84985</v>
      </c>
      <c r="H71">
        <v>0.93166000000000004</v>
      </c>
      <c r="J71" s="4">
        <f t="shared" si="6"/>
        <v>1.8239307587470519</v>
      </c>
      <c r="K71" s="4">
        <f t="shared" si="7"/>
        <v>1.2296264291411858</v>
      </c>
      <c r="M71" t="s">
        <v>3</v>
      </c>
      <c r="N71" t="s">
        <v>40</v>
      </c>
      <c r="O71">
        <v>0.21609</v>
      </c>
      <c r="P71">
        <v>0.1241</v>
      </c>
      <c r="Q71">
        <v>6.973E-2</v>
      </c>
      <c r="R71">
        <v>0.18604000000000001</v>
      </c>
      <c r="S71">
        <v>9.5509999999999998E-2</v>
      </c>
      <c r="T71">
        <v>0.16281999999999999</v>
      </c>
      <c r="V71" s="7">
        <f t="shared" si="5"/>
        <v>8.5538746211389197E-2</v>
      </c>
      <c r="X71" t="s">
        <v>3</v>
      </c>
      <c r="Y71" t="s">
        <v>40</v>
      </c>
      <c r="Z71">
        <v>0.43</v>
      </c>
      <c r="AA71">
        <v>-0.19317999999999999</v>
      </c>
      <c r="AB71">
        <v>1.6782600000000001</v>
      </c>
      <c r="AC71" s="7">
        <v>0.96731999999999996</v>
      </c>
    </row>
    <row r="72" spans="1:30" x14ac:dyDescent="0.25">
      <c r="A72" t="s">
        <v>3</v>
      </c>
      <c r="B72" t="s">
        <v>41</v>
      </c>
      <c r="C72">
        <v>6.1999999999999998E-3</v>
      </c>
      <c r="D72">
        <v>1.4579999999999999E-2</v>
      </c>
      <c r="E72">
        <v>2.196E-2</v>
      </c>
      <c r="F72">
        <v>3.29E-3</v>
      </c>
      <c r="G72">
        <v>9.8899999999999995E-3</v>
      </c>
      <c r="H72">
        <v>2.7100000000000002E-3</v>
      </c>
      <c r="J72" s="4">
        <f t="shared" si="6"/>
        <v>3.8057377049180321</v>
      </c>
      <c r="K72" s="4">
        <f t="shared" si="7"/>
        <v>1.5951612903225807</v>
      </c>
      <c r="M72" t="s">
        <v>3</v>
      </c>
      <c r="N72" t="s">
        <v>41</v>
      </c>
      <c r="O72">
        <v>1.89E-3</v>
      </c>
      <c r="P72">
        <v>2.63E-3</v>
      </c>
      <c r="Q72">
        <v>2.2699999999999999E-3</v>
      </c>
      <c r="R72">
        <v>9.3000000000000005E-4</v>
      </c>
      <c r="S72">
        <v>1.47E-3</v>
      </c>
      <c r="T72">
        <v>6.0999999999999997E-4</v>
      </c>
      <c r="V72" s="7">
        <f t="shared" si="5"/>
        <v>0.16714992324748421</v>
      </c>
      <c r="X72" t="s">
        <v>3</v>
      </c>
      <c r="Y72" t="s">
        <v>41</v>
      </c>
      <c r="Z72">
        <v>0.45</v>
      </c>
      <c r="AA72">
        <v>-1.98E-3</v>
      </c>
      <c r="AB72">
        <v>7.9900000000000006E-3</v>
      </c>
      <c r="AC72" s="7">
        <v>0.95425000000000004</v>
      </c>
    </row>
    <row r="73" spans="1:30" x14ac:dyDescent="0.25">
      <c r="A73" t="s">
        <v>3</v>
      </c>
      <c r="B73" t="s">
        <v>42</v>
      </c>
      <c r="C73">
        <v>1.6219999999999998E-2</v>
      </c>
      <c r="D73">
        <v>3.8670000000000003E-2</v>
      </c>
      <c r="E73">
        <v>5.5739999999999998E-2</v>
      </c>
      <c r="F73">
        <v>9.3600000000000003E-3</v>
      </c>
      <c r="G73">
        <v>2.921E-2</v>
      </c>
      <c r="H73">
        <v>7.5700000000000003E-3</v>
      </c>
      <c r="J73" s="4">
        <f t="shared" si="6"/>
        <v>3.7291101055806939</v>
      </c>
      <c r="K73" s="4">
        <f t="shared" si="7"/>
        <v>1.8008631319358819</v>
      </c>
      <c r="M73" t="s">
        <v>3</v>
      </c>
      <c r="N73" t="s">
        <v>42</v>
      </c>
      <c r="O73">
        <v>4.7099999999999998E-3</v>
      </c>
      <c r="P73">
        <v>6.4599999999999996E-3</v>
      </c>
      <c r="Q73">
        <v>4.8900000000000002E-3</v>
      </c>
      <c r="R73">
        <v>2.65E-3</v>
      </c>
      <c r="S73">
        <v>3.81E-3</v>
      </c>
      <c r="T73">
        <v>1.8699999999999999E-3</v>
      </c>
      <c r="V73" s="7">
        <f t="shared" si="5"/>
        <v>0.1555782356318173</v>
      </c>
      <c r="X73" t="s">
        <v>3</v>
      </c>
      <c r="Y73" t="s">
        <v>42</v>
      </c>
      <c r="Z73">
        <v>0.14000000000000001</v>
      </c>
      <c r="AA73">
        <v>-4.2199999999999998E-3</v>
      </c>
      <c r="AB73">
        <v>2.2360000000000001E-2</v>
      </c>
      <c r="AC73" s="7">
        <v>0.98692999999999997</v>
      </c>
    </row>
    <row r="74" spans="1:30" x14ac:dyDescent="0.25">
      <c r="A74" t="s">
        <v>3</v>
      </c>
      <c r="B74" t="s">
        <v>43</v>
      </c>
      <c r="C74">
        <v>6.6899999999999998E-3</v>
      </c>
      <c r="D74">
        <v>1.495E-2</v>
      </c>
      <c r="E74">
        <v>2.342E-2</v>
      </c>
      <c r="F74">
        <v>3.4299999999999999E-3</v>
      </c>
      <c r="G74">
        <v>1.0869999999999999E-2</v>
      </c>
      <c r="H74">
        <v>2.9399999999999999E-3</v>
      </c>
      <c r="J74" s="4">
        <f t="shared" si="6"/>
        <v>3.7702909647779479</v>
      </c>
      <c r="K74" s="4">
        <f t="shared" si="7"/>
        <v>1.6248131539611359</v>
      </c>
      <c r="M74" t="s">
        <v>3</v>
      </c>
      <c r="N74" t="s">
        <v>43</v>
      </c>
      <c r="O74">
        <v>1.7899999999999999E-3</v>
      </c>
      <c r="P74">
        <v>2.8900000000000002E-3</v>
      </c>
      <c r="Q74">
        <v>2.4599999999999999E-3</v>
      </c>
      <c r="R74">
        <v>9.6000000000000002E-4</v>
      </c>
      <c r="S74">
        <v>1.7099999999999999E-3</v>
      </c>
      <c r="T74">
        <v>7.7999999999999999E-4</v>
      </c>
      <c r="V74" s="7">
        <f t="shared" si="5"/>
        <v>0.16998394863563404</v>
      </c>
      <c r="X74" t="s">
        <v>3</v>
      </c>
      <c r="Y74" t="s">
        <v>43</v>
      </c>
      <c r="Z74">
        <v>0.49</v>
      </c>
      <c r="AA74">
        <v>-1.9499999999999999E-3</v>
      </c>
      <c r="AB74">
        <v>8.2199999999999999E-3</v>
      </c>
      <c r="AC74" s="7">
        <v>0.96077999999999997</v>
      </c>
    </row>
    <row r="75" spans="1:30" x14ac:dyDescent="0.25">
      <c r="A75" t="s">
        <v>3</v>
      </c>
      <c r="B75" t="s">
        <v>44</v>
      </c>
      <c r="C75">
        <v>6.9899999999999997E-3</v>
      </c>
      <c r="D75">
        <v>1.393E-2</v>
      </c>
      <c r="E75">
        <v>2.511E-2</v>
      </c>
      <c r="F75">
        <v>3.2599999999999999E-3</v>
      </c>
      <c r="G75">
        <v>1.0160000000000001E-2</v>
      </c>
      <c r="H75">
        <v>2.9199999999999999E-3</v>
      </c>
      <c r="J75" s="4">
        <f t="shared" si="6"/>
        <v>3.7357630979498873</v>
      </c>
      <c r="K75" s="4">
        <f t="shared" si="7"/>
        <v>1.453505007153076</v>
      </c>
      <c r="L75" s="7"/>
      <c r="M75" t="s">
        <v>3</v>
      </c>
      <c r="N75" t="s">
        <v>44</v>
      </c>
      <c r="O75">
        <v>3.5799999999999998E-3</v>
      </c>
      <c r="P75">
        <v>2.5500000000000002E-3</v>
      </c>
      <c r="Q75">
        <v>1.1560000000000001E-2</v>
      </c>
      <c r="R75">
        <v>8.8999999999999995E-4</v>
      </c>
      <c r="S75">
        <v>1.32E-3</v>
      </c>
      <c r="T75">
        <v>1.0399999999999999E-3</v>
      </c>
      <c r="V75" s="7">
        <f t="shared" si="5"/>
        <v>0.33573833573833572</v>
      </c>
      <c r="W75" s="7">
        <f>AVERAGE(V70:V75)/AVERAGE(V64:V69)-1</f>
        <v>0.15470545832488947</v>
      </c>
      <c r="X75" t="s">
        <v>3</v>
      </c>
      <c r="Y75" t="s">
        <v>44</v>
      </c>
      <c r="Z75">
        <v>1.85</v>
      </c>
      <c r="AA75">
        <v>-1.099E-2</v>
      </c>
      <c r="AB75">
        <v>8.09E-3</v>
      </c>
      <c r="AC75" s="7">
        <v>0.96077999999999997</v>
      </c>
      <c r="AD75" s="7"/>
    </row>
    <row r="76" spans="1:30" x14ac:dyDescent="0.25">
      <c r="A76" t="s">
        <v>28</v>
      </c>
      <c r="B76" t="s">
        <v>33</v>
      </c>
      <c r="C76">
        <v>0.98804000000000003</v>
      </c>
      <c r="D76">
        <v>1.5228299999999999</v>
      </c>
      <c r="E76">
        <v>1.8468</v>
      </c>
      <c r="F76">
        <v>0.70633000000000001</v>
      </c>
      <c r="G76">
        <v>1.1814899999999999</v>
      </c>
      <c r="H76">
        <v>0.64317999999999997</v>
      </c>
      <c r="J76" s="4">
        <f t="shared" si="6"/>
        <v>1.9469615623195222</v>
      </c>
      <c r="K76" s="4">
        <f t="shared" si="7"/>
        <v>1.1957916683535079</v>
      </c>
      <c r="M76" t="s">
        <v>28</v>
      </c>
      <c r="N76" t="s">
        <v>33</v>
      </c>
      <c r="O76">
        <v>0.15851999999999999</v>
      </c>
      <c r="P76">
        <v>0.14710999999999999</v>
      </c>
      <c r="Q76">
        <v>0.10464</v>
      </c>
      <c r="R76">
        <v>8.7590000000000001E-2</v>
      </c>
      <c r="S76">
        <v>8.5709999999999995E-2</v>
      </c>
      <c r="T76">
        <v>6.2560000000000004E-2</v>
      </c>
      <c r="V76" s="7">
        <f t="shared" si="5"/>
        <v>9.379604480981088E-2</v>
      </c>
      <c r="X76" t="s">
        <v>28</v>
      </c>
      <c r="Y76" t="s">
        <v>33</v>
      </c>
      <c r="Z76">
        <v>1.34</v>
      </c>
      <c r="AA76">
        <v>-0.21113000000000001</v>
      </c>
      <c r="AB76">
        <v>1.09596</v>
      </c>
      <c r="AC76" s="7">
        <v>0.94771000000000005</v>
      </c>
    </row>
    <row r="77" spans="1:30" x14ac:dyDescent="0.25">
      <c r="A77" t="s">
        <v>28</v>
      </c>
      <c r="B77" t="s">
        <v>34</v>
      </c>
      <c r="C77">
        <v>1.8073600000000001</v>
      </c>
      <c r="D77">
        <v>2.8616700000000002</v>
      </c>
      <c r="E77">
        <v>3.4812400000000001</v>
      </c>
      <c r="F77">
        <v>1.2689999999999999</v>
      </c>
      <c r="G77">
        <v>2.2992900000000001</v>
      </c>
      <c r="H77">
        <v>1.1626000000000001</v>
      </c>
      <c r="J77" s="4">
        <f t="shared" si="6"/>
        <v>2.0387547889104871</v>
      </c>
      <c r="K77" s="4">
        <f t="shared" si="7"/>
        <v>1.2721815244334278</v>
      </c>
      <c r="M77" t="s">
        <v>28</v>
      </c>
      <c r="N77" t="s">
        <v>34</v>
      </c>
      <c r="O77">
        <v>0.31356000000000001</v>
      </c>
      <c r="P77">
        <v>0.25213000000000002</v>
      </c>
      <c r="Q77">
        <v>0.16632</v>
      </c>
      <c r="R77">
        <v>0.17698</v>
      </c>
      <c r="S77">
        <v>0.15307000000000001</v>
      </c>
      <c r="T77">
        <v>0.13902999999999999</v>
      </c>
      <c r="V77" s="7">
        <f t="shared" si="5"/>
        <v>9.3243931447167819E-2</v>
      </c>
      <c r="X77" t="s">
        <v>28</v>
      </c>
      <c r="Y77" t="s">
        <v>34</v>
      </c>
      <c r="Z77">
        <v>0.56000000000000005</v>
      </c>
      <c r="AA77">
        <v>-0.35405999999999999</v>
      </c>
      <c r="AB77">
        <v>2.0844800000000001</v>
      </c>
      <c r="AC77" s="7">
        <v>0.96077999999999997</v>
      </c>
    </row>
    <row r="78" spans="1:30" x14ac:dyDescent="0.25">
      <c r="A78" t="s">
        <v>28</v>
      </c>
      <c r="B78" t="s">
        <v>35</v>
      </c>
      <c r="C78">
        <v>5.1619999999999999E-2</v>
      </c>
      <c r="D78">
        <v>8.3529999999999993E-2</v>
      </c>
      <c r="E78">
        <v>0.1017</v>
      </c>
      <c r="F78">
        <v>3.9870000000000003E-2</v>
      </c>
      <c r="G78">
        <v>6.5369999999999998E-2</v>
      </c>
      <c r="H78">
        <v>3.6479999999999999E-2</v>
      </c>
      <c r="J78" s="4">
        <f t="shared" si="6"/>
        <v>1.958271469875752</v>
      </c>
      <c r="K78" s="4">
        <f t="shared" si="7"/>
        <v>1.2663696241766758</v>
      </c>
      <c r="M78" t="s">
        <v>28</v>
      </c>
      <c r="N78" t="s">
        <v>35</v>
      </c>
      <c r="O78">
        <v>7.7499999999999999E-3</v>
      </c>
      <c r="P78">
        <v>6.9100000000000003E-3</v>
      </c>
      <c r="Q78">
        <v>5.11E-3</v>
      </c>
      <c r="R78">
        <v>4.3600000000000002E-3</v>
      </c>
      <c r="S78">
        <v>4.7000000000000002E-3</v>
      </c>
      <c r="T78">
        <v>3.2200000000000002E-3</v>
      </c>
      <c r="V78" s="7">
        <f t="shared" si="5"/>
        <v>8.4660696832818225E-2</v>
      </c>
      <c r="X78" t="s">
        <v>28</v>
      </c>
      <c r="Y78" t="s">
        <v>35</v>
      </c>
      <c r="Z78">
        <v>0.45</v>
      </c>
      <c r="AA78">
        <v>-6.9899999999999997E-3</v>
      </c>
      <c r="AB78">
        <v>5.8990000000000001E-2</v>
      </c>
      <c r="AC78" s="7">
        <v>0.96077999999999997</v>
      </c>
    </row>
    <row r="79" spans="1:30" x14ac:dyDescent="0.25">
      <c r="A79" t="s">
        <v>28</v>
      </c>
      <c r="B79" t="s">
        <v>36</v>
      </c>
      <c r="C79">
        <v>9.5659999999999995E-2</v>
      </c>
      <c r="D79">
        <v>0.14621000000000001</v>
      </c>
      <c r="E79">
        <v>0.18226999999999999</v>
      </c>
      <c r="F79">
        <v>6.991E-2</v>
      </c>
      <c r="G79">
        <v>0.12741</v>
      </c>
      <c r="H79">
        <v>6.5329999999999999E-2</v>
      </c>
      <c r="J79" s="4">
        <f t="shared" si="6"/>
        <v>1.9744045041143352</v>
      </c>
      <c r="K79" s="4">
        <f t="shared" si="7"/>
        <v>1.3319046623458082</v>
      </c>
      <c r="M79" t="s">
        <v>28</v>
      </c>
      <c r="N79" t="s">
        <v>36</v>
      </c>
      <c r="O79">
        <v>1.619E-2</v>
      </c>
      <c r="P79">
        <v>1.359E-2</v>
      </c>
      <c r="Q79">
        <v>8.5400000000000007E-3</v>
      </c>
      <c r="R79">
        <v>1.004E-2</v>
      </c>
      <c r="S79">
        <v>8.7600000000000004E-3</v>
      </c>
      <c r="T79">
        <v>7.6499999999999997E-3</v>
      </c>
      <c r="V79" s="7">
        <f t="shared" si="5"/>
        <v>9.4308303848337924E-2</v>
      </c>
      <c r="X79" t="s">
        <v>28</v>
      </c>
      <c r="Y79" t="s">
        <v>36</v>
      </c>
      <c r="Z79">
        <v>0.28999999999999998</v>
      </c>
      <c r="AA79">
        <v>-1.1780000000000001E-2</v>
      </c>
      <c r="AB79">
        <v>0.11029</v>
      </c>
      <c r="AC79" s="7">
        <v>0.98038999999999998</v>
      </c>
    </row>
    <row r="80" spans="1:30" x14ac:dyDescent="0.25">
      <c r="A80" t="s">
        <v>28</v>
      </c>
      <c r="B80" t="s">
        <v>37</v>
      </c>
      <c r="C80">
        <v>5.722E-2</v>
      </c>
      <c r="D80">
        <v>8.2199999999999995E-2</v>
      </c>
      <c r="E80">
        <v>0.10649</v>
      </c>
      <c r="F80">
        <v>4.1320000000000003E-2</v>
      </c>
      <c r="G80">
        <v>7.2859999999999994E-2</v>
      </c>
      <c r="H80">
        <v>3.9649999999999998E-2</v>
      </c>
      <c r="J80" s="4">
        <f t="shared" si="6"/>
        <v>1.8926839858166291</v>
      </c>
      <c r="K80" s="4">
        <f t="shared" si="7"/>
        <v>1.2733310031457532</v>
      </c>
      <c r="M80" t="s">
        <v>28</v>
      </c>
      <c r="N80" t="s">
        <v>37</v>
      </c>
      <c r="O80">
        <v>8.2900000000000005E-3</v>
      </c>
      <c r="P80">
        <v>8.6899999999999998E-3</v>
      </c>
      <c r="Q80">
        <v>6.3200000000000001E-3</v>
      </c>
      <c r="R80">
        <v>4.5799999999999999E-3</v>
      </c>
      <c r="S80">
        <v>6.79E-3</v>
      </c>
      <c r="T80">
        <v>5.45E-3</v>
      </c>
      <c r="V80" s="7">
        <f t="shared" si="5"/>
        <v>0.10036523740431282</v>
      </c>
      <c r="X80" t="s">
        <v>28</v>
      </c>
      <c r="Y80" t="s">
        <v>37</v>
      </c>
      <c r="Z80">
        <v>0.78</v>
      </c>
      <c r="AA80">
        <v>-1.2160000000000001E-2</v>
      </c>
      <c r="AB80">
        <v>6.2019999999999999E-2</v>
      </c>
      <c r="AC80" s="7">
        <v>0.96077999999999997</v>
      </c>
    </row>
    <row r="81" spans="1:30" x14ac:dyDescent="0.25">
      <c r="A81" t="s">
        <v>28</v>
      </c>
      <c r="B81" t="s">
        <v>38</v>
      </c>
      <c r="C81">
        <v>5.654E-2</v>
      </c>
      <c r="D81">
        <v>8.2089999999999996E-2</v>
      </c>
      <c r="E81">
        <v>0.10668</v>
      </c>
      <c r="F81">
        <v>3.9989999999999998E-2</v>
      </c>
      <c r="G81">
        <v>7.2910000000000003E-2</v>
      </c>
      <c r="H81">
        <v>3.8600000000000002E-2</v>
      </c>
      <c r="J81" s="4">
        <f t="shared" si="6"/>
        <v>1.9365055872123142</v>
      </c>
      <c r="K81" s="4">
        <f t="shared" si="7"/>
        <v>1.2895295366112487</v>
      </c>
      <c r="M81" t="s">
        <v>28</v>
      </c>
      <c r="N81" t="s">
        <v>38</v>
      </c>
      <c r="O81">
        <v>9.1900000000000003E-3</v>
      </c>
      <c r="P81">
        <v>8.6700000000000006E-3</v>
      </c>
      <c r="Q81">
        <v>6.4200000000000004E-3</v>
      </c>
      <c r="R81">
        <v>4.8700000000000002E-3</v>
      </c>
      <c r="S81">
        <v>6.7600000000000004E-3</v>
      </c>
      <c r="T81">
        <v>6.4700000000000001E-3</v>
      </c>
      <c r="V81" s="7">
        <f t="shared" si="5"/>
        <v>0.1068017439076636</v>
      </c>
      <c r="X81" t="s">
        <v>28</v>
      </c>
      <c r="Y81" t="s">
        <v>38</v>
      </c>
      <c r="Z81">
        <v>0.68</v>
      </c>
      <c r="AA81">
        <v>-1.192E-2</v>
      </c>
      <c r="AB81">
        <v>6.2239999999999997E-2</v>
      </c>
      <c r="AC81" s="7">
        <v>0.96077999999999997</v>
      </c>
    </row>
    <row r="82" spans="1:30" x14ac:dyDescent="0.25">
      <c r="A82" t="s">
        <v>28</v>
      </c>
      <c r="B82" t="s">
        <v>39</v>
      </c>
      <c r="C82">
        <v>1.5026900000000001</v>
      </c>
      <c r="D82">
        <v>2.3910999999999998</v>
      </c>
      <c r="E82">
        <v>2.91791</v>
      </c>
      <c r="F82">
        <v>1.03657</v>
      </c>
      <c r="G82">
        <v>1.83826</v>
      </c>
      <c r="H82">
        <v>0.9274</v>
      </c>
      <c r="J82" s="4">
        <f t="shared" si="6"/>
        <v>2.0617164648393551</v>
      </c>
      <c r="K82" s="4">
        <f t="shared" si="7"/>
        <v>1.2233128589396349</v>
      </c>
      <c r="M82" t="s">
        <v>28</v>
      </c>
      <c r="N82" t="s">
        <v>39</v>
      </c>
      <c r="O82">
        <v>0.26025999999999999</v>
      </c>
      <c r="P82">
        <v>0.23810999999999999</v>
      </c>
      <c r="Q82">
        <v>0.16903000000000001</v>
      </c>
      <c r="R82">
        <v>0.15026</v>
      </c>
      <c r="S82">
        <v>0.14047999999999999</v>
      </c>
      <c r="T82">
        <v>0.10967</v>
      </c>
      <c r="V82" s="7">
        <f t="shared" si="5"/>
        <v>0.10060458284537394</v>
      </c>
      <c r="X82" t="s">
        <v>28</v>
      </c>
      <c r="Y82" t="s">
        <v>39</v>
      </c>
      <c r="Z82">
        <v>1.23</v>
      </c>
      <c r="AA82">
        <v>-0.34545999999999999</v>
      </c>
      <c r="AB82">
        <v>1.68377</v>
      </c>
      <c r="AC82" s="7">
        <v>0.94771000000000005</v>
      </c>
    </row>
    <row r="83" spans="1:30" x14ac:dyDescent="0.25">
      <c r="A83" t="s">
        <v>28</v>
      </c>
      <c r="B83" t="s">
        <v>40</v>
      </c>
      <c r="C83">
        <v>2.3845000000000001</v>
      </c>
      <c r="D83">
        <v>3.8833500000000001</v>
      </c>
      <c r="E83">
        <v>4.6099199999999998</v>
      </c>
      <c r="F83">
        <v>1.74509</v>
      </c>
      <c r="G83">
        <v>3.1138699999999999</v>
      </c>
      <c r="H83">
        <v>1.5425800000000001</v>
      </c>
      <c r="J83" s="4">
        <f t="shared" si="6"/>
        <v>2.0463314745503038</v>
      </c>
      <c r="K83" s="4">
        <f t="shared" si="7"/>
        <v>1.3058796393373873</v>
      </c>
      <c r="M83" t="s">
        <v>28</v>
      </c>
      <c r="N83" t="s">
        <v>40</v>
      </c>
      <c r="O83">
        <v>0.37491000000000002</v>
      </c>
      <c r="P83">
        <v>0.32199</v>
      </c>
      <c r="Q83">
        <v>0.22109999999999999</v>
      </c>
      <c r="R83">
        <v>0.2319</v>
      </c>
      <c r="S83">
        <v>0.20402999999999999</v>
      </c>
      <c r="T83">
        <v>0.19045999999999999</v>
      </c>
      <c r="V83" s="7">
        <f t="shared" si="5"/>
        <v>8.9377990209099797E-2</v>
      </c>
      <c r="X83" t="s">
        <v>28</v>
      </c>
      <c r="Y83" t="s">
        <v>40</v>
      </c>
      <c r="Z83">
        <v>0.35</v>
      </c>
      <c r="AA83">
        <v>-0.42781999999999998</v>
      </c>
      <c r="AB83">
        <v>2.7612700000000001</v>
      </c>
      <c r="AC83" s="7">
        <v>0.96731999999999996</v>
      </c>
    </row>
    <row r="84" spans="1:30" x14ac:dyDescent="0.25">
      <c r="A84" t="s">
        <v>28</v>
      </c>
      <c r="B84" t="s">
        <v>41</v>
      </c>
      <c r="C84">
        <v>7.8340000000000007E-2</v>
      </c>
      <c r="D84">
        <v>0.12242</v>
      </c>
      <c r="E84">
        <v>0.15218000000000001</v>
      </c>
      <c r="F84">
        <v>5.7119999999999997E-2</v>
      </c>
      <c r="G84">
        <v>0.10065</v>
      </c>
      <c r="H84">
        <v>5.1950000000000003E-2</v>
      </c>
      <c r="J84" s="4">
        <f t="shared" si="6"/>
        <v>2.0022944346619713</v>
      </c>
      <c r="K84" s="4">
        <f t="shared" si="7"/>
        <v>1.2847842736788357</v>
      </c>
      <c r="M84" t="s">
        <v>28</v>
      </c>
      <c r="N84" t="s">
        <v>41</v>
      </c>
      <c r="O84">
        <v>1.298E-2</v>
      </c>
      <c r="P84">
        <v>1.167E-2</v>
      </c>
      <c r="Q84">
        <v>8.2900000000000005E-3</v>
      </c>
      <c r="R84">
        <v>7.9000000000000008E-3</v>
      </c>
      <c r="S84">
        <v>7.7400000000000004E-3</v>
      </c>
      <c r="T84">
        <v>5.7600000000000004E-3</v>
      </c>
      <c r="V84" s="7">
        <f t="shared" si="5"/>
        <v>9.6576973660825349E-2</v>
      </c>
      <c r="X84" t="s">
        <v>28</v>
      </c>
      <c r="Y84" t="s">
        <v>41</v>
      </c>
      <c r="Z84">
        <v>0.45</v>
      </c>
      <c r="AA84">
        <v>-1.183E-2</v>
      </c>
      <c r="AB84">
        <v>9.0270000000000003E-2</v>
      </c>
      <c r="AC84" s="7">
        <v>0.95425000000000004</v>
      </c>
    </row>
    <row r="85" spans="1:30" x14ac:dyDescent="0.25">
      <c r="A85" t="s">
        <v>28</v>
      </c>
      <c r="B85" t="s">
        <v>42</v>
      </c>
      <c r="C85">
        <v>0.12712999999999999</v>
      </c>
      <c r="D85">
        <v>0.20008999999999999</v>
      </c>
      <c r="E85">
        <v>0.24340000000000001</v>
      </c>
      <c r="F85">
        <v>9.6420000000000006E-2</v>
      </c>
      <c r="G85">
        <v>0.17330999999999999</v>
      </c>
      <c r="H85">
        <v>8.6860000000000007E-2</v>
      </c>
      <c r="J85" s="4">
        <f t="shared" si="6"/>
        <v>1.9870493862955445</v>
      </c>
      <c r="K85" s="4">
        <f t="shared" si="7"/>
        <v>1.3632502163140092</v>
      </c>
      <c r="M85" t="s">
        <v>28</v>
      </c>
      <c r="N85" t="s">
        <v>42</v>
      </c>
      <c r="O85">
        <v>1.966E-2</v>
      </c>
      <c r="P85">
        <v>1.7649999999999999E-2</v>
      </c>
      <c r="Q85">
        <v>1.136E-2</v>
      </c>
      <c r="R85">
        <v>1.345E-2</v>
      </c>
      <c r="S85">
        <v>1.1849999999999999E-2</v>
      </c>
      <c r="T85">
        <v>1.0500000000000001E-2</v>
      </c>
      <c r="V85" s="7">
        <f t="shared" si="5"/>
        <v>9.1101260771561998E-2</v>
      </c>
      <c r="X85" t="s">
        <v>28</v>
      </c>
      <c r="Y85" t="s">
        <v>42</v>
      </c>
      <c r="Z85">
        <v>0.14000000000000001</v>
      </c>
      <c r="AA85">
        <v>-1.478E-2</v>
      </c>
      <c r="AB85">
        <v>0.15132999999999999</v>
      </c>
      <c r="AC85" s="7">
        <v>0.98692999999999997</v>
      </c>
    </row>
    <row r="86" spans="1:30" x14ac:dyDescent="0.25">
      <c r="A86" t="s">
        <v>28</v>
      </c>
      <c r="B86" t="s">
        <v>43</v>
      </c>
      <c r="C86">
        <v>8.1589999999999996E-2</v>
      </c>
      <c r="D86">
        <v>0.12393999999999999</v>
      </c>
      <c r="E86">
        <v>0.15709000000000001</v>
      </c>
      <c r="F86">
        <v>5.8319999999999997E-2</v>
      </c>
      <c r="G86">
        <v>0.10539999999999999</v>
      </c>
      <c r="H86">
        <v>5.4010000000000002E-2</v>
      </c>
      <c r="J86" s="4">
        <f t="shared" si="6"/>
        <v>1.9927289603960401</v>
      </c>
      <c r="K86" s="4">
        <f t="shared" si="7"/>
        <v>1.291824978551293</v>
      </c>
      <c r="M86" t="s">
        <v>28</v>
      </c>
      <c r="N86" t="s">
        <v>43</v>
      </c>
      <c r="O86">
        <v>1.214E-2</v>
      </c>
      <c r="P86">
        <v>1.2760000000000001E-2</v>
      </c>
      <c r="Q86">
        <v>8.6999999999999994E-3</v>
      </c>
      <c r="R86">
        <v>7.9399999999999991E-3</v>
      </c>
      <c r="S86">
        <v>8.6499999999999997E-3</v>
      </c>
      <c r="T86">
        <v>7.0000000000000001E-3</v>
      </c>
      <c r="V86" s="7">
        <f t="shared" si="5"/>
        <v>9.8543982079779421E-2</v>
      </c>
      <c r="X86" t="s">
        <v>28</v>
      </c>
      <c r="Y86" t="s">
        <v>43</v>
      </c>
      <c r="Z86">
        <v>0.47</v>
      </c>
      <c r="AA86">
        <v>-1.0919999999999999E-2</v>
      </c>
      <c r="AB86">
        <v>9.1560000000000002E-2</v>
      </c>
      <c r="AC86" s="7">
        <v>0.96077999999999997</v>
      </c>
    </row>
    <row r="87" spans="1:30" x14ac:dyDescent="0.25">
      <c r="A87" t="s">
        <v>28</v>
      </c>
      <c r="B87" t="s">
        <v>44</v>
      </c>
      <c r="C87">
        <v>8.208E-2</v>
      </c>
      <c r="D87">
        <v>0.11989</v>
      </c>
      <c r="E87">
        <v>0.16045000000000001</v>
      </c>
      <c r="F87">
        <v>5.6950000000000001E-2</v>
      </c>
      <c r="G87">
        <v>0.1021</v>
      </c>
      <c r="H87">
        <v>5.3659999999999999E-2</v>
      </c>
      <c r="J87" s="4">
        <f t="shared" si="6"/>
        <v>1.9847423322435003</v>
      </c>
      <c r="K87" s="4">
        <f t="shared" si="7"/>
        <v>1.2439083820662769</v>
      </c>
      <c r="L87" s="7"/>
      <c r="M87" t="s">
        <v>28</v>
      </c>
      <c r="N87" t="s">
        <v>44</v>
      </c>
      <c r="O87">
        <v>1.9810000000000001E-2</v>
      </c>
      <c r="P87">
        <v>1.1480000000000001E-2</v>
      </c>
      <c r="Q87">
        <v>3.143E-2</v>
      </c>
      <c r="R87">
        <v>7.6099999999999996E-3</v>
      </c>
      <c r="S87">
        <v>7.0000000000000001E-3</v>
      </c>
      <c r="T87">
        <v>8.7200000000000003E-3</v>
      </c>
      <c r="V87" s="7">
        <f t="shared" si="5"/>
        <v>0.1496183471562951</v>
      </c>
      <c r="W87" s="7">
        <f>AVERAGE(V82:V87)/AVERAGE(V76:V81)-1</f>
        <v>9.1851686580774583E-2</v>
      </c>
      <c r="X87" t="s">
        <v>28</v>
      </c>
      <c r="Y87" t="s">
        <v>44</v>
      </c>
      <c r="Z87">
        <v>1.77</v>
      </c>
      <c r="AA87">
        <v>-5.1290000000000002E-2</v>
      </c>
      <c r="AB87">
        <v>9.0800000000000006E-2</v>
      </c>
      <c r="AC87" s="7">
        <v>0.96077999999999997</v>
      </c>
      <c r="AD87" s="7"/>
    </row>
    <row r="88" spans="1:30" x14ac:dyDescent="0.25">
      <c r="A88" t="s">
        <v>29</v>
      </c>
      <c r="B88" t="s">
        <v>33</v>
      </c>
      <c r="C88">
        <v>3.1099999999999999E-2</v>
      </c>
      <c r="D88">
        <v>0.20172000000000001</v>
      </c>
      <c r="E88">
        <v>0.49464000000000002</v>
      </c>
      <c r="F88">
        <v>1.093E-2</v>
      </c>
      <c r="G88">
        <v>0.11488</v>
      </c>
      <c r="H88">
        <v>8.1499999999999993E-3</v>
      </c>
      <c r="J88" s="4">
        <f t="shared" si="6"/>
        <v>16.166600239139104</v>
      </c>
      <c r="K88" s="4">
        <f t="shared" si="7"/>
        <v>3.6938906752411573</v>
      </c>
      <c r="M88" t="s">
        <v>29</v>
      </c>
      <c r="N88" t="s">
        <v>33</v>
      </c>
      <c r="O88">
        <v>1.7000000000000001E-2</v>
      </c>
      <c r="P88">
        <v>6.9349999999999995E-2</v>
      </c>
      <c r="Q88">
        <v>9.1380000000000003E-2</v>
      </c>
      <c r="R88">
        <v>5.4200000000000003E-3</v>
      </c>
      <c r="S88">
        <v>3.1E-2</v>
      </c>
      <c r="T88">
        <v>3.2299999999999998E-3</v>
      </c>
      <c r="V88" s="7">
        <f t="shared" si="5"/>
        <v>0.25235076965939962</v>
      </c>
      <c r="X88" t="s">
        <v>29</v>
      </c>
      <c r="Y88" t="s">
        <v>33</v>
      </c>
      <c r="Z88">
        <v>0.04</v>
      </c>
      <c r="AA88">
        <v>-1.307E-2</v>
      </c>
      <c r="AB88">
        <v>5.7140000000000003E-2</v>
      </c>
      <c r="AC88" s="7">
        <v>0.98692999999999997</v>
      </c>
    </row>
    <row r="89" spans="1:30" x14ac:dyDescent="0.25">
      <c r="A89" t="s">
        <v>29</v>
      </c>
      <c r="B89" t="s">
        <v>34</v>
      </c>
      <c r="C89">
        <v>4.1200000000000001E-2</v>
      </c>
      <c r="D89">
        <v>0.24126</v>
      </c>
      <c r="E89">
        <v>0.59560000000000002</v>
      </c>
      <c r="F89">
        <v>1.515E-2</v>
      </c>
      <c r="G89">
        <v>0.14369000000000001</v>
      </c>
      <c r="H89">
        <v>1.0800000000000001E-2</v>
      </c>
      <c r="J89" s="4">
        <f t="shared" si="6"/>
        <v>14.602382725241997</v>
      </c>
      <c r="K89" s="4">
        <f t="shared" si="7"/>
        <v>3.4876213592233012</v>
      </c>
      <c r="M89" t="s">
        <v>29</v>
      </c>
      <c r="N89" t="s">
        <v>34</v>
      </c>
      <c r="O89">
        <v>2.3089999999999999E-2</v>
      </c>
      <c r="P89">
        <v>8.4269999999999998E-2</v>
      </c>
      <c r="Q89">
        <v>0.11207</v>
      </c>
      <c r="R89">
        <v>8.9999999999999993E-3</v>
      </c>
      <c r="S89">
        <v>4.2099999999999999E-2</v>
      </c>
      <c r="T89">
        <v>5.2599999999999999E-3</v>
      </c>
      <c r="V89" s="7">
        <f t="shared" si="5"/>
        <v>0.263233750119309</v>
      </c>
      <c r="X89" t="s">
        <v>29</v>
      </c>
      <c r="Y89" t="s">
        <v>34</v>
      </c>
      <c r="Z89">
        <v>0.1</v>
      </c>
      <c r="AA89">
        <v>-2.1049999999999999E-2</v>
      </c>
      <c r="AB89">
        <v>7.2080000000000005E-2</v>
      </c>
      <c r="AC89" s="7">
        <v>0.98692999999999997</v>
      </c>
    </row>
    <row r="90" spans="1:30" x14ac:dyDescent="0.25">
      <c r="A90" t="s">
        <v>29</v>
      </c>
      <c r="B90" t="s">
        <v>35</v>
      </c>
      <c r="C90">
        <v>3.1099999999999999E-2</v>
      </c>
      <c r="D90">
        <v>0.20172000000000001</v>
      </c>
      <c r="E90">
        <v>0.49464000000000002</v>
      </c>
      <c r="F90">
        <v>1.093E-2</v>
      </c>
      <c r="G90">
        <v>0.11488</v>
      </c>
      <c r="H90">
        <v>8.1499999999999993E-3</v>
      </c>
      <c r="J90" s="4">
        <f t="shared" si="6"/>
        <v>16.166600239139104</v>
      </c>
      <c r="K90" s="4">
        <f t="shared" si="7"/>
        <v>3.6938906752411573</v>
      </c>
      <c r="M90" t="s">
        <v>29</v>
      </c>
      <c r="N90" t="s">
        <v>35</v>
      </c>
      <c r="O90">
        <v>1.7000000000000001E-2</v>
      </c>
      <c r="P90">
        <v>6.9349999999999995E-2</v>
      </c>
      <c r="Q90">
        <v>9.1380000000000003E-2</v>
      </c>
      <c r="R90">
        <v>5.4200000000000003E-3</v>
      </c>
      <c r="S90">
        <v>3.1E-2</v>
      </c>
      <c r="T90">
        <v>3.2299999999999998E-3</v>
      </c>
      <c r="V90" s="7">
        <f t="shared" si="5"/>
        <v>0.25235076965939962</v>
      </c>
      <c r="X90" t="s">
        <v>29</v>
      </c>
      <c r="Y90" t="s">
        <v>35</v>
      </c>
      <c r="Z90">
        <v>0.04</v>
      </c>
      <c r="AA90">
        <v>-1.307E-2</v>
      </c>
      <c r="AB90">
        <v>5.7140000000000003E-2</v>
      </c>
      <c r="AC90" s="7">
        <v>0.98692999999999997</v>
      </c>
    </row>
    <row r="91" spans="1:30" x14ac:dyDescent="0.25">
      <c r="A91" t="s">
        <v>29</v>
      </c>
      <c r="B91" t="s">
        <v>36</v>
      </c>
      <c r="C91">
        <v>4.1200000000000001E-2</v>
      </c>
      <c r="D91">
        <v>0.24126</v>
      </c>
      <c r="E91">
        <v>0.59560000000000002</v>
      </c>
      <c r="F91">
        <v>1.515E-2</v>
      </c>
      <c r="G91">
        <v>0.14369000000000001</v>
      </c>
      <c r="H91">
        <v>1.0800000000000001E-2</v>
      </c>
      <c r="J91" s="4">
        <f t="shared" si="6"/>
        <v>14.602382725241997</v>
      </c>
      <c r="K91" s="4">
        <f t="shared" si="7"/>
        <v>3.4876213592233012</v>
      </c>
      <c r="M91" t="s">
        <v>29</v>
      </c>
      <c r="N91" t="s">
        <v>36</v>
      </c>
      <c r="O91">
        <v>2.3089999999999999E-2</v>
      </c>
      <c r="P91">
        <v>8.4269999999999998E-2</v>
      </c>
      <c r="Q91">
        <v>0.11207</v>
      </c>
      <c r="R91">
        <v>8.9999999999999993E-3</v>
      </c>
      <c r="S91">
        <v>4.2099999999999999E-2</v>
      </c>
      <c r="T91">
        <v>5.2599999999999999E-3</v>
      </c>
      <c r="V91" s="7">
        <f t="shared" si="5"/>
        <v>0.263233750119309</v>
      </c>
      <c r="X91" t="s">
        <v>29</v>
      </c>
      <c r="Y91" t="s">
        <v>36</v>
      </c>
      <c r="Z91">
        <v>0.1</v>
      </c>
      <c r="AA91">
        <v>-2.1049999999999999E-2</v>
      </c>
      <c r="AB91">
        <v>7.2080000000000005E-2</v>
      </c>
      <c r="AC91" s="7">
        <v>0.98692999999999997</v>
      </c>
    </row>
    <row r="92" spans="1:30" x14ac:dyDescent="0.25">
      <c r="A92" t="s">
        <v>29</v>
      </c>
      <c r="B92" t="s">
        <v>37</v>
      </c>
      <c r="C92">
        <v>3.1099999999999999E-2</v>
      </c>
      <c r="D92">
        <v>0.20172000000000001</v>
      </c>
      <c r="E92">
        <v>0.49464000000000002</v>
      </c>
      <c r="F92">
        <v>1.093E-2</v>
      </c>
      <c r="G92">
        <v>0.11488</v>
      </c>
      <c r="H92">
        <v>8.1499999999999993E-3</v>
      </c>
      <c r="J92" s="4">
        <f t="shared" si="6"/>
        <v>16.166600239139104</v>
      </c>
      <c r="K92" s="4">
        <f t="shared" si="7"/>
        <v>3.6938906752411573</v>
      </c>
      <c r="M92" t="s">
        <v>29</v>
      </c>
      <c r="N92" t="s">
        <v>37</v>
      </c>
      <c r="O92">
        <v>1.7000000000000001E-2</v>
      </c>
      <c r="P92">
        <v>6.9349999999999995E-2</v>
      </c>
      <c r="Q92">
        <v>9.1380000000000003E-2</v>
      </c>
      <c r="R92">
        <v>5.4200000000000003E-3</v>
      </c>
      <c r="S92">
        <v>3.1E-2</v>
      </c>
      <c r="T92">
        <v>3.2299999999999998E-3</v>
      </c>
      <c r="V92" s="7">
        <f t="shared" si="5"/>
        <v>0.25235076965939962</v>
      </c>
      <c r="X92" t="s">
        <v>29</v>
      </c>
      <c r="Y92" t="s">
        <v>37</v>
      </c>
      <c r="Z92">
        <v>0.04</v>
      </c>
      <c r="AA92">
        <v>-1.307E-2</v>
      </c>
      <c r="AB92">
        <v>5.7140000000000003E-2</v>
      </c>
      <c r="AC92" s="7">
        <v>0.98692999999999997</v>
      </c>
    </row>
    <row r="93" spans="1:30" x14ac:dyDescent="0.25">
      <c r="A93" t="s">
        <v>29</v>
      </c>
      <c r="B93" t="s">
        <v>38</v>
      </c>
      <c r="C93">
        <v>3.1140000000000001E-2</v>
      </c>
      <c r="D93">
        <v>0.20246</v>
      </c>
      <c r="E93">
        <v>0.4965</v>
      </c>
      <c r="F93">
        <v>1.0880000000000001E-2</v>
      </c>
      <c r="G93">
        <v>0.1153</v>
      </c>
      <c r="H93">
        <v>8.09E-3</v>
      </c>
      <c r="J93" s="4">
        <f t="shared" si="6"/>
        <v>16.249451207343842</v>
      </c>
      <c r="K93" s="4">
        <f t="shared" si="7"/>
        <v>3.7026332691072574</v>
      </c>
      <c r="M93" t="s">
        <v>29</v>
      </c>
      <c r="N93" t="s">
        <v>38</v>
      </c>
      <c r="O93">
        <v>1.7069999999999998E-2</v>
      </c>
      <c r="P93">
        <v>6.966E-2</v>
      </c>
      <c r="Q93">
        <v>9.1759999999999994E-2</v>
      </c>
      <c r="R93">
        <v>5.4400000000000004E-3</v>
      </c>
      <c r="S93">
        <v>3.1130000000000001E-2</v>
      </c>
      <c r="T93">
        <v>3.2499999999999999E-3</v>
      </c>
      <c r="V93" s="7">
        <f t="shared" si="5"/>
        <v>0.25256545229473482</v>
      </c>
      <c r="X93" t="s">
        <v>29</v>
      </c>
      <c r="Y93" t="s">
        <v>38</v>
      </c>
      <c r="Z93">
        <v>0.04</v>
      </c>
      <c r="AA93">
        <v>-1.3180000000000001E-2</v>
      </c>
      <c r="AB93">
        <v>5.7320000000000003E-2</v>
      </c>
      <c r="AC93" s="7">
        <v>0.98692999999999997</v>
      </c>
    </row>
    <row r="94" spans="1:30" x14ac:dyDescent="0.25">
      <c r="A94" t="s">
        <v>29</v>
      </c>
      <c r="B94" t="s">
        <v>39</v>
      </c>
      <c r="C94">
        <v>3.3430000000000001E-2</v>
      </c>
      <c r="D94">
        <v>0.21926999999999999</v>
      </c>
      <c r="E94">
        <v>0.53832000000000002</v>
      </c>
      <c r="F94">
        <v>1.18E-2</v>
      </c>
      <c r="G94">
        <v>0.12479999999999999</v>
      </c>
      <c r="H94">
        <v>8.7799999999999996E-3</v>
      </c>
      <c r="J94" s="4">
        <f t="shared" si="6"/>
        <v>16.337530087020923</v>
      </c>
      <c r="K94" s="4">
        <f t="shared" si="7"/>
        <v>3.733173795991624</v>
      </c>
      <c r="M94" t="s">
        <v>29</v>
      </c>
      <c r="N94" t="s">
        <v>39</v>
      </c>
      <c r="O94">
        <v>1.8200000000000001E-2</v>
      </c>
      <c r="P94">
        <v>7.5560000000000002E-2</v>
      </c>
      <c r="Q94">
        <v>9.9900000000000003E-2</v>
      </c>
      <c r="R94">
        <v>5.8900000000000003E-3</v>
      </c>
      <c r="S94">
        <v>3.3700000000000001E-2</v>
      </c>
      <c r="T94">
        <v>3.5100000000000001E-3</v>
      </c>
      <c r="V94" s="7">
        <f t="shared" si="5"/>
        <v>0.25284066638188807</v>
      </c>
      <c r="X94" t="s">
        <v>29</v>
      </c>
      <c r="Y94" t="s">
        <v>39</v>
      </c>
      <c r="Z94">
        <v>0.04</v>
      </c>
      <c r="AA94">
        <v>-1.353E-2</v>
      </c>
      <c r="AB94">
        <v>6.166E-2</v>
      </c>
      <c r="AC94" s="7">
        <v>0.98692999999999997</v>
      </c>
    </row>
    <row r="95" spans="1:30" x14ac:dyDescent="0.25">
      <c r="A95" t="s">
        <v>29</v>
      </c>
      <c r="B95" t="s">
        <v>40</v>
      </c>
      <c r="C95">
        <v>4.7910000000000001E-2</v>
      </c>
      <c r="D95">
        <v>0.30131000000000002</v>
      </c>
      <c r="E95">
        <v>0.69613000000000003</v>
      </c>
      <c r="F95">
        <v>1.9570000000000001E-2</v>
      </c>
      <c r="G95">
        <v>0.18401000000000001</v>
      </c>
      <c r="H95">
        <v>1.269E-2</v>
      </c>
      <c r="J95" s="4">
        <f t="shared" si="6"/>
        <v>14.736809280279408</v>
      </c>
      <c r="K95" s="4">
        <f t="shared" si="7"/>
        <v>3.8407430599039869</v>
      </c>
      <c r="M95" t="s">
        <v>29</v>
      </c>
      <c r="N95" t="s">
        <v>40</v>
      </c>
      <c r="O95">
        <v>2.649E-2</v>
      </c>
      <c r="P95">
        <v>9.8739999999999994E-2</v>
      </c>
      <c r="Q95">
        <v>0.12315</v>
      </c>
      <c r="R95">
        <v>1.0670000000000001E-2</v>
      </c>
      <c r="S95">
        <v>5.1679999999999997E-2</v>
      </c>
      <c r="T95">
        <v>5.0600000000000003E-3</v>
      </c>
      <c r="V95" s="7">
        <f t="shared" si="5"/>
        <v>0.25030516320286611</v>
      </c>
      <c r="X95" t="s">
        <v>29</v>
      </c>
      <c r="Y95" t="s">
        <v>40</v>
      </c>
      <c r="Z95">
        <v>0.02</v>
      </c>
      <c r="AA95">
        <v>-2.0580000000000001E-2</v>
      </c>
      <c r="AB95">
        <v>8.9899999999999994E-2</v>
      </c>
      <c r="AC95" s="7">
        <v>0.98692999999999997</v>
      </c>
    </row>
    <row r="96" spans="1:30" x14ac:dyDescent="0.25">
      <c r="A96" t="s">
        <v>29</v>
      </c>
      <c r="B96" t="s">
        <v>41</v>
      </c>
      <c r="C96">
        <v>3.3430000000000001E-2</v>
      </c>
      <c r="D96">
        <v>0.21926999999999999</v>
      </c>
      <c r="E96">
        <v>0.53832000000000002</v>
      </c>
      <c r="F96">
        <v>1.18E-2</v>
      </c>
      <c r="G96">
        <v>0.12479999999999999</v>
      </c>
      <c r="H96">
        <v>8.7799999999999996E-3</v>
      </c>
      <c r="J96" s="4">
        <f t="shared" si="6"/>
        <v>16.337530087020923</v>
      </c>
      <c r="K96" s="4">
        <f t="shared" si="7"/>
        <v>3.733173795991624</v>
      </c>
      <c r="M96" t="s">
        <v>29</v>
      </c>
      <c r="N96" t="s">
        <v>41</v>
      </c>
      <c r="O96">
        <v>1.8200000000000001E-2</v>
      </c>
      <c r="P96">
        <v>7.5560000000000002E-2</v>
      </c>
      <c r="Q96">
        <v>9.9900000000000003E-2</v>
      </c>
      <c r="R96">
        <v>5.8900000000000003E-3</v>
      </c>
      <c r="S96">
        <v>3.3700000000000001E-2</v>
      </c>
      <c r="T96">
        <v>3.5100000000000001E-3</v>
      </c>
      <c r="V96" s="7">
        <f t="shared" si="5"/>
        <v>0.25284066638188807</v>
      </c>
      <c r="X96" t="s">
        <v>29</v>
      </c>
      <c r="Y96" t="s">
        <v>41</v>
      </c>
      <c r="Z96">
        <v>0.04</v>
      </c>
      <c r="AA96">
        <v>-1.353E-2</v>
      </c>
      <c r="AB96">
        <v>6.166E-2</v>
      </c>
      <c r="AC96" s="7">
        <v>0.98692999999999997</v>
      </c>
    </row>
    <row r="97" spans="1:30" x14ac:dyDescent="0.25">
      <c r="A97" t="s">
        <v>29</v>
      </c>
      <c r="B97" t="s">
        <v>42</v>
      </c>
      <c r="C97">
        <v>4.7910000000000001E-2</v>
      </c>
      <c r="D97">
        <v>0.30131000000000002</v>
      </c>
      <c r="E97">
        <v>0.69613000000000003</v>
      </c>
      <c r="F97">
        <v>1.9570000000000001E-2</v>
      </c>
      <c r="G97">
        <v>0.18401000000000001</v>
      </c>
      <c r="H97">
        <v>1.269E-2</v>
      </c>
      <c r="J97" s="4">
        <f t="shared" si="6"/>
        <v>14.736809280279408</v>
      </c>
      <c r="K97" s="4">
        <f t="shared" si="7"/>
        <v>3.8407430599039869</v>
      </c>
      <c r="M97" t="s">
        <v>29</v>
      </c>
      <c r="N97" t="s">
        <v>42</v>
      </c>
      <c r="O97">
        <v>2.649E-2</v>
      </c>
      <c r="P97">
        <v>9.8739999999999994E-2</v>
      </c>
      <c r="Q97">
        <v>0.12315</v>
      </c>
      <c r="R97">
        <v>1.0670000000000001E-2</v>
      </c>
      <c r="S97">
        <v>5.1679999999999997E-2</v>
      </c>
      <c r="T97">
        <v>5.0600000000000003E-3</v>
      </c>
      <c r="V97" s="7">
        <f t="shared" si="5"/>
        <v>0.25030516320286611</v>
      </c>
      <c r="X97" t="s">
        <v>29</v>
      </c>
      <c r="Y97" t="s">
        <v>42</v>
      </c>
      <c r="Z97">
        <v>0.02</v>
      </c>
      <c r="AA97">
        <v>-2.0580000000000001E-2</v>
      </c>
      <c r="AB97">
        <v>8.9899999999999994E-2</v>
      </c>
      <c r="AC97" s="7">
        <v>0.98692999999999997</v>
      </c>
    </row>
    <row r="98" spans="1:30" x14ac:dyDescent="0.25">
      <c r="A98" t="s">
        <v>29</v>
      </c>
      <c r="B98" t="s">
        <v>43</v>
      </c>
      <c r="C98">
        <v>3.3430000000000001E-2</v>
      </c>
      <c r="D98">
        <v>0.21926999999999999</v>
      </c>
      <c r="E98">
        <v>0.53832000000000002</v>
      </c>
      <c r="F98">
        <v>1.18E-2</v>
      </c>
      <c r="G98">
        <v>0.12479999999999999</v>
      </c>
      <c r="H98">
        <v>8.7799999999999996E-3</v>
      </c>
      <c r="J98" s="4">
        <f t="shared" si="6"/>
        <v>16.337530087020923</v>
      </c>
      <c r="K98" s="4">
        <f t="shared" si="7"/>
        <v>3.733173795991624</v>
      </c>
      <c r="M98" t="s">
        <v>29</v>
      </c>
      <c r="N98" t="s">
        <v>43</v>
      </c>
      <c r="O98">
        <v>1.8200000000000001E-2</v>
      </c>
      <c r="P98">
        <v>7.5560000000000002E-2</v>
      </c>
      <c r="Q98">
        <v>9.9900000000000003E-2</v>
      </c>
      <c r="R98">
        <v>5.8900000000000003E-3</v>
      </c>
      <c r="S98">
        <v>3.3700000000000001E-2</v>
      </c>
      <c r="T98">
        <v>3.5100000000000001E-3</v>
      </c>
      <c r="V98" s="7">
        <f t="shared" si="5"/>
        <v>0.25284066638188807</v>
      </c>
      <c r="X98" t="s">
        <v>29</v>
      </c>
      <c r="Y98" t="s">
        <v>43</v>
      </c>
      <c r="Z98">
        <v>0.04</v>
      </c>
      <c r="AA98">
        <v>-1.353E-2</v>
      </c>
      <c r="AB98">
        <v>6.166E-2</v>
      </c>
      <c r="AC98" s="7">
        <v>0.98692999999999997</v>
      </c>
    </row>
    <row r="99" spans="1:30" x14ac:dyDescent="0.25">
      <c r="A99" t="s">
        <v>29</v>
      </c>
      <c r="B99" t="s">
        <v>44</v>
      </c>
      <c r="C99">
        <v>1.19502</v>
      </c>
      <c r="D99">
        <v>0.93296999999999997</v>
      </c>
      <c r="E99">
        <v>1.48499</v>
      </c>
      <c r="F99">
        <v>1.196E-2</v>
      </c>
      <c r="G99">
        <v>0.85282000000000002</v>
      </c>
      <c r="H99">
        <v>1.1852100000000001</v>
      </c>
      <c r="J99" s="4">
        <f t="shared" si="6"/>
        <v>1.3672743385767852</v>
      </c>
      <c r="K99" s="4">
        <f t="shared" si="7"/>
        <v>0.71364495991698884</v>
      </c>
      <c r="L99" s="7"/>
      <c r="M99" t="s">
        <v>29</v>
      </c>
      <c r="N99" t="s">
        <v>44</v>
      </c>
      <c r="O99">
        <v>1.1226</v>
      </c>
      <c r="P99">
        <v>1.0344</v>
      </c>
      <c r="Q99">
        <v>1.0420799999999999</v>
      </c>
      <c r="R99">
        <v>5.9500000000000004E-3</v>
      </c>
      <c r="S99">
        <v>1.04789</v>
      </c>
      <c r="T99">
        <v>1.1379900000000001</v>
      </c>
      <c r="V99" s="7">
        <f t="shared" si="5"/>
        <v>0.95195807147133016</v>
      </c>
      <c r="W99" s="7">
        <f>AVERAGE(V94:V99)/AVERAGE(V88:V93)-1</f>
        <v>0.4394320760860313</v>
      </c>
      <c r="X99" t="s">
        <v>29</v>
      </c>
      <c r="Y99" t="s">
        <v>44</v>
      </c>
      <c r="Z99">
        <v>22.41</v>
      </c>
      <c r="AA99">
        <v>-2.1977699999999998</v>
      </c>
      <c r="AB99">
        <v>9.5159999999999995E-2</v>
      </c>
      <c r="AC99" s="7">
        <v>0.86275000000000002</v>
      </c>
      <c r="AD99" s="7"/>
    </row>
    <row r="100" spans="1:30" x14ac:dyDescent="0.25">
      <c r="A100" t="s">
        <v>30</v>
      </c>
      <c r="B100" t="s">
        <v>33</v>
      </c>
      <c r="C100">
        <v>5.5489999999999998E-2</v>
      </c>
      <c r="D100">
        <v>0.12883</v>
      </c>
      <c r="E100">
        <v>0.18414</v>
      </c>
      <c r="F100">
        <v>3.039E-2</v>
      </c>
      <c r="G100">
        <v>8.2540000000000002E-2</v>
      </c>
      <c r="H100">
        <v>2.545E-2</v>
      </c>
      <c r="J100" s="4">
        <f t="shared" si="6"/>
        <v>3.5525913949519445</v>
      </c>
      <c r="K100" s="4">
        <f t="shared" si="7"/>
        <v>1.4874752207604975</v>
      </c>
      <c r="M100" t="s">
        <v>30</v>
      </c>
      <c r="N100" t="s">
        <v>33</v>
      </c>
      <c r="O100">
        <v>1.6480000000000002E-2</v>
      </c>
      <c r="P100">
        <v>2.1829999999999999E-2</v>
      </c>
      <c r="Q100">
        <v>1.7350000000000001E-2</v>
      </c>
      <c r="R100">
        <v>7.5700000000000003E-3</v>
      </c>
      <c r="S100">
        <v>1.1299999999999999E-2</v>
      </c>
      <c r="T100">
        <v>5.0000000000000001E-3</v>
      </c>
      <c r="V100" s="7">
        <f t="shared" si="5"/>
        <v>0.156913424354826</v>
      </c>
      <c r="X100" t="s">
        <v>30</v>
      </c>
      <c r="Y100" t="s">
        <v>33</v>
      </c>
      <c r="Z100">
        <v>0.74</v>
      </c>
      <c r="AA100">
        <v>-2.0840000000000001E-2</v>
      </c>
      <c r="AB100">
        <v>6.8940000000000001E-2</v>
      </c>
      <c r="AC100" s="7">
        <v>0.94771000000000005</v>
      </c>
    </row>
    <row r="101" spans="1:30" x14ac:dyDescent="0.25">
      <c r="A101" t="s">
        <v>30</v>
      </c>
      <c r="B101" t="s">
        <v>34</v>
      </c>
      <c r="C101">
        <v>9.536E-2</v>
      </c>
      <c r="D101">
        <v>0.23710999999999999</v>
      </c>
      <c r="E101">
        <v>0.33694000000000002</v>
      </c>
      <c r="F101">
        <v>5.1339999999999997E-2</v>
      </c>
      <c r="G101">
        <v>0.15784999999999999</v>
      </c>
      <c r="H101">
        <v>4.1390000000000003E-2</v>
      </c>
      <c r="J101" s="4">
        <f t="shared" si="6"/>
        <v>3.8912222872029347</v>
      </c>
      <c r="K101" s="4">
        <f t="shared" si="7"/>
        <v>1.6553062080536911</v>
      </c>
      <c r="M101" t="s">
        <v>30</v>
      </c>
      <c r="N101" t="s">
        <v>34</v>
      </c>
      <c r="O101">
        <v>3.0530000000000002E-2</v>
      </c>
      <c r="P101">
        <v>3.8129999999999997E-2</v>
      </c>
      <c r="Q101">
        <v>2.7709999999999999E-2</v>
      </c>
      <c r="R101">
        <v>1.5339999999999999E-2</v>
      </c>
      <c r="S101">
        <v>2.1989999999999999E-2</v>
      </c>
      <c r="T101">
        <v>1.057E-2</v>
      </c>
      <c r="V101" s="7">
        <f t="shared" si="5"/>
        <v>0.15681692192306437</v>
      </c>
      <c r="X101" t="s">
        <v>30</v>
      </c>
      <c r="Y101" t="s">
        <v>34</v>
      </c>
      <c r="Z101">
        <v>0.35</v>
      </c>
      <c r="AA101">
        <v>-3.2349999999999997E-2</v>
      </c>
      <c r="AB101">
        <v>0.12316000000000001</v>
      </c>
      <c r="AC101" s="7">
        <v>0.96077999999999997</v>
      </c>
    </row>
    <row r="102" spans="1:30" x14ac:dyDescent="0.25">
      <c r="A102" t="s">
        <v>30</v>
      </c>
      <c r="B102" t="s">
        <v>35</v>
      </c>
      <c r="C102">
        <v>5.4440000000000002E-2</v>
      </c>
      <c r="D102">
        <v>0.13370000000000001</v>
      </c>
      <c r="E102">
        <v>0.19139</v>
      </c>
      <c r="F102">
        <v>3.209E-2</v>
      </c>
      <c r="G102">
        <v>8.3470000000000003E-2</v>
      </c>
      <c r="H102">
        <v>2.682E-2</v>
      </c>
      <c r="J102" s="4">
        <f t="shared" si="6"/>
        <v>3.6044111160123511</v>
      </c>
      <c r="K102" s="4">
        <f t="shared" si="7"/>
        <v>1.5332476120499632</v>
      </c>
      <c r="M102" t="s">
        <v>30</v>
      </c>
      <c r="N102" t="s">
        <v>35</v>
      </c>
      <c r="O102">
        <v>1.5169999999999999E-2</v>
      </c>
      <c r="P102">
        <v>1.9720000000000001E-2</v>
      </c>
      <c r="Q102">
        <v>1.626E-2</v>
      </c>
      <c r="R102">
        <v>6.9800000000000001E-3</v>
      </c>
      <c r="S102">
        <v>1.128E-2</v>
      </c>
      <c r="T102">
        <v>4.7000000000000002E-3</v>
      </c>
      <c r="V102" s="7">
        <f t="shared" si="5"/>
        <v>0.14199766243222012</v>
      </c>
      <c r="X102" t="s">
        <v>30</v>
      </c>
      <c r="Y102" t="s">
        <v>35</v>
      </c>
      <c r="Z102">
        <v>0.51</v>
      </c>
      <c r="AA102">
        <v>-1.6480000000000002E-2</v>
      </c>
      <c r="AB102">
        <v>6.8210000000000007E-2</v>
      </c>
      <c r="AC102" s="7">
        <v>0.95425000000000004</v>
      </c>
    </row>
    <row r="103" spans="1:30" x14ac:dyDescent="0.25">
      <c r="A103" t="s">
        <v>30</v>
      </c>
      <c r="B103" t="s">
        <v>36</v>
      </c>
      <c r="C103">
        <v>9.3789999999999998E-2</v>
      </c>
      <c r="D103">
        <v>0.21228</v>
      </c>
      <c r="E103">
        <v>0.31437999999999999</v>
      </c>
      <c r="F103">
        <v>5.0509999999999999E-2</v>
      </c>
      <c r="G103">
        <v>0.15601000000000001</v>
      </c>
      <c r="H103">
        <v>4.172E-2</v>
      </c>
      <c r="J103" s="4">
        <f t="shared" si="6"/>
        <v>3.6698742070745083</v>
      </c>
      <c r="K103" s="4">
        <f t="shared" si="7"/>
        <v>1.6633969506343962</v>
      </c>
      <c r="M103" t="s">
        <v>30</v>
      </c>
      <c r="N103" t="s">
        <v>36</v>
      </c>
      <c r="O103">
        <v>2.9250000000000002E-2</v>
      </c>
      <c r="P103">
        <v>3.6929999999999998E-2</v>
      </c>
      <c r="Q103">
        <v>2.6579999999999999E-2</v>
      </c>
      <c r="R103">
        <v>1.555E-2</v>
      </c>
      <c r="S103">
        <v>2.2249999999999999E-2</v>
      </c>
      <c r="T103">
        <v>1.043E-2</v>
      </c>
      <c r="V103" s="7">
        <f t="shared" si="5"/>
        <v>0.1623018568188882</v>
      </c>
      <c r="X103" t="s">
        <v>30</v>
      </c>
      <c r="Y103" t="s">
        <v>36</v>
      </c>
      <c r="Z103">
        <v>0.35</v>
      </c>
      <c r="AA103">
        <v>-2.6669999999999999E-2</v>
      </c>
      <c r="AB103">
        <v>0.12055</v>
      </c>
      <c r="AC103" s="7">
        <v>0.96077999999999997</v>
      </c>
    </row>
    <row r="104" spans="1:30" x14ac:dyDescent="0.25">
      <c r="A104" t="s">
        <v>30</v>
      </c>
      <c r="B104" t="s">
        <v>37</v>
      </c>
      <c r="C104">
        <v>9.9080000000000001E-2</v>
      </c>
      <c r="D104">
        <v>0.19908000000000001</v>
      </c>
      <c r="E104">
        <v>0.32006000000000001</v>
      </c>
      <c r="F104">
        <v>5.6680000000000001E-2</v>
      </c>
      <c r="G104">
        <v>0.17069000000000001</v>
      </c>
      <c r="H104">
        <v>5.6000000000000001E-2</v>
      </c>
      <c r="J104" s="4">
        <f t="shared" si="6"/>
        <v>3.2576029467321499</v>
      </c>
      <c r="K104" s="4">
        <f t="shared" si="7"/>
        <v>1.722749293500202</v>
      </c>
      <c r="M104" t="s">
        <v>30</v>
      </c>
      <c r="N104" t="s">
        <v>37</v>
      </c>
      <c r="O104">
        <v>2.4150000000000001E-2</v>
      </c>
      <c r="P104">
        <v>3.526E-2</v>
      </c>
      <c r="Q104">
        <v>2.8879999999999999E-2</v>
      </c>
      <c r="R104">
        <v>1.23E-2</v>
      </c>
      <c r="S104">
        <v>2.8490000000000001E-2</v>
      </c>
      <c r="T104">
        <v>1.508E-2</v>
      </c>
      <c r="V104" s="7">
        <f t="shared" si="5"/>
        <v>0.1598952960880223</v>
      </c>
      <c r="X104" t="s">
        <v>30</v>
      </c>
      <c r="Y104" t="s">
        <v>37</v>
      </c>
      <c r="Z104">
        <v>0.31</v>
      </c>
      <c r="AA104">
        <v>-3.1399999999999997E-2</v>
      </c>
      <c r="AB104">
        <v>0.11661000000000001</v>
      </c>
      <c r="AC104" s="7">
        <v>0.97385999999999995</v>
      </c>
    </row>
    <row r="105" spans="1:30" x14ac:dyDescent="0.25">
      <c r="A105" t="s">
        <v>30</v>
      </c>
      <c r="B105" t="s">
        <v>38</v>
      </c>
      <c r="C105">
        <v>0.10097</v>
      </c>
      <c r="D105">
        <v>0.20630000000000001</v>
      </c>
      <c r="E105">
        <v>0.33307999999999999</v>
      </c>
      <c r="F105">
        <v>5.568E-2</v>
      </c>
      <c r="G105">
        <v>0.17838000000000001</v>
      </c>
      <c r="H105">
        <v>5.6160000000000002E-2</v>
      </c>
      <c r="J105" s="4">
        <f t="shared" si="6"/>
        <v>3.3727738358159862</v>
      </c>
      <c r="K105" s="4">
        <f t="shared" si="7"/>
        <v>1.7666633653560464</v>
      </c>
      <c r="M105" t="s">
        <v>30</v>
      </c>
      <c r="N105" t="s">
        <v>38</v>
      </c>
      <c r="O105">
        <v>2.716E-2</v>
      </c>
      <c r="P105">
        <v>3.6240000000000001E-2</v>
      </c>
      <c r="Q105">
        <v>0.03</v>
      </c>
      <c r="R105">
        <v>1.3100000000000001E-2</v>
      </c>
      <c r="S105">
        <v>2.9569999999999999E-2</v>
      </c>
      <c r="T105">
        <v>1.8020000000000001E-2</v>
      </c>
      <c r="V105" s="7">
        <f t="shared" si="5"/>
        <v>0.16558668343058558</v>
      </c>
      <c r="X105" t="s">
        <v>30</v>
      </c>
      <c r="Y105" t="s">
        <v>38</v>
      </c>
      <c r="Z105">
        <v>0.31</v>
      </c>
      <c r="AA105">
        <v>-3.073E-2</v>
      </c>
      <c r="AB105">
        <v>0.12078999999999999</v>
      </c>
      <c r="AC105" s="7">
        <v>0.97385999999999995</v>
      </c>
    </row>
    <row r="106" spans="1:30" x14ac:dyDescent="0.25">
      <c r="A106" t="s">
        <v>30</v>
      </c>
      <c r="B106" t="s">
        <v>39</v>
      </c>
      <c r="C106">
        <v>7.1290000000000006E-2</v>
      </c>
      <c r="D106">
        <v>0.17502999999999999</v>
      </c>
      <c r="E106">
        <v>0.25087999999999999</v>
      </c>
      <c r="F106">
        <v>3.7569999999999999E-2</v>
      </c>
      <c r="G106">
        <v>0.11309</v>
      </c>
      <c r="H106">
        <v>3.0550000000000001E-2</v>
      </c>
      <c r="J106" s="4">
        <f t="shared" si="6"/>
        <v>3.8662936661645504</v>
      </c>
      <c r="K106" s="4">
        <f t="shared" si="7"/>
        <v>1.586337494739795</v>
      </c>
      <c r="M106" t="s">
        <v>30</v>
      </c>
      <c r="N106" t="s">
        <v>39</v>
      </c>
      <c r="O106">
        <v>2.2630000000000001E-2</v>
      </c>
      <c r="P106">
        <v>2.9440000000000001E-2</v>
      </c>
      <c r="Q106">
        <v>2.256E-2</v>
      </c>
      <c r="R106">
        <v>1.089E-2</v>
      </c>
      <c r="S106">
        <v>1.601E-2</v>
      </c>
      <c r="T106">
        <v>7.3000000000000001E-3</v>
      </c>
      <c r="V106" s="7">
        <f t="shared" si="5"/>
        <v>0.16041921551863916</v>
      </c>
      <c r="X106" t="s">
        <v>30</v>
      </c>
      <c r="Y106" t="s">
        <v>39</v>
      </c>
      <c r="Z106">
        <v>0.49</v>
      </c>
      <c r="AA106">
        <v>-2.69E-2</v>
      </c>
      <c r="AB106">
        <v>9.178E-2</v>
      </c>
      <c r="AC106" s="7">
        <v>0.95425000000000004</v>
      </c>
    </row>
    <row r="107" spans="1:30" x14ac:dyDescent="0.25">
      <c r="A107" t="s">
        <v>30</v>
      </c>
      <c r="B107" t="s">
        <v>40</v>
      </c>
      <c r="C107">
        <v>8.6879999999999999E-2</v>
      </c>
      <c r="D107">
        <v>0.23022000000000001</v>
      </c>
      <c r="E107">
        <v>0.33111000000000002</v>
      </c>
      <c r="F107">
        <v>4.8890000000000003E-2</v>
      </c>
      <c r="G107">
        <v>0.15686</v>
      </c>
      <c r="H107">
        <v>4.0570000000000002E-2</v>
      </c>
      <c r="J107" s="4">
        <f t="shared" si="6"/>
        <v>4.0727571736418282</v>
      </c>
      <c r="K107" s="4">
        <f t="shared" si="7"/>
        <v>1.8054788213627992</v>
      </c>
      <c r="M107" t="s">
        <v>30</v>
      </c>
      <c r="N107" t="s">
        <v>40</v>
      </c>
      <c r="O107">
        <v>2.6089999999999999E-2</v>
      </c>
      <c r="P107">
        <v>3.6089999999999997E-2</v>
      </c>
      <c r="Q107">
        <v>2.6849999999999999E-2</v>
      </c>
      <c r="R107">
        <v>1.353E-2</v>
      </c>
      <c r="S107">
        <v>2.0570000000000001E-2</v>
      </c>
      <c r="T107">
        <v>1.034E-2</v>
      </c>
      <c r="V107" s="7">
        <f t="shared" si="5"/>
        <v>0.14920684605323467</v>
      </c>
      <c r="X107" t="s">
        <v>30</v>
      </c>
      <c r="Y107" t="s">
        <v>40</v>
      </c>
      <c r="Z107">
        <v>0.12</v>
      </c>
      <c r="AA107">
        <v>-2.3179999999999999E-2</v>
      </c>
      <c r="AB107">
        <v>0.12041</v>
      </c>
      <c r="AC107" s="7">
        <v>0.98692999999999997</v>
      </c>
    </row>
    <row r="108" spans="1:30" x14ac:dyDescent="0.25">
      <c r="A108" t="s">
        <v>30</v>
      </c>
      <c r="B108" t="s">
        <v>41</v>
      </c>
      <c r="C108">
        <v>6.9699999999999998E-2</v>
      </c>
      <c r="D108">
        <v>0.16028999999999999</v>
      </c>
      <c r="E108">
        <v>0.23696999999999999</v>
      </c>
      <c r="F108">
        <v>3.7900000000000003E-2</v>
      </c>
      <c r="G108">
        <v>0.11212</v>
      </c>
      <c r="H108">
        <v>3.1419999999999997E-2</v>
      </c>
      <c r="J108" s="4">
        <f t="shared" si="6"/>
        <v>3.6640771112070203</v>
      </c>
      <c r="K108" s="4">
        <f t="shared" si="7"/>
        <v>1.6086083213773315</v>
      </c>
      <c r="M108" t="s">
        <v>30</v>
      </c>
      <c r="N108" t="s">
        <v>41</v>
      </c>
      <c r="O108">
        <v>2.1149999999999999E-2</v>
      </c>
      <c r="P108">
        <v>2.6460000000000001E-2</v>
      </c>
      <c r="Q108">
        <v>2.0629999999999999E-2</v>
      </c>
      <c r="R108">
        <v>1.052E-2</v>
      </c>
      <c r="S108">
        <v>1.5900000000000001E-2</v>
      </c>
      <c r="T108">
        <v>7.0000000000000001E-3</v>
      </c>
      <c r="V108" s="7">
        <f t="shared" si="5"/>
        <v>0.15678593460826654</v>
      </c>
      <c r="X108" t="s">
        <v>30</v>
      </c>
      <c r="Y108" t="s">
        <v>41</v>
      </c>
      <c r="Z108">
        <v>0.41</v>
      </c>
      <c r="AA108">
        <v>-2.104E-2</v>
      </c>
      <c r="AB108">
        <v>9.0749999999999997E-2</v>
      </c>
      <c r="AC108" s="7">
        <v>0.96077999999999997</v>
      </c>
    </row>
    <row r="109" spans="1:30" x14ac:dyDescent="0.25">
      <c r="A109" t="s">
        <v>30</v>
      </c>
      <c r="B109" t="s">
        <v>42</v>
      </c>
      <c r="C109">
        <v>8.5819999999999994E-2</v>
      </c>
      <c r="D109">
        <v>0.20743</v>
      </c>
      <c r="E109">
        <v>0.31089</v>
      </c>
      <c r="F109">
        <v>4.8050000000000002E-2</v>
      </c>
      <c r="G109">
        <v>0.15536</v>
      </c>
      <c r="H109">
        <v>4.0809999999999999E-2</v>
      </c>
      <c r="J109" s="4">
        <f t="shared" si="6"/>
        <v>3.8566521639569498</v>
      </c>
      <c r="K109" s="4">
        <f t="shared" si="7"/>
        <v>1.8103006292239572</v>
      </c>
      <c r="M109" t="s">
        <v>30</v>
      </c>
      <c r="N109" t="s">
        <v>42</v>
      </c>
      <c r="O109">
        <v>2.5329999999999998E-2</v>
      </c>
      <c r="P109">
        <v>3.567E-2</v>
      </c>
      <c r="Q109">
        <v>2.6030000000000001E-2</v>
      </c>
      <c r="R109">
        <v>1.3979999999999999E-2</v>
      </c>
      <c r="S109">
        <v>2.1049999999999999E-2</v>
      </c>
      <c r="T109">
        <v>1.018E-2</v>
      </c>
      <c r="V109" s="7">
        <f t="shared" si="5"/>
        <v>0.15587722193408457</v>
      </c>
      <c r="X109" t="s">
        <v>30</v>
      </c>
      <c r="Y109" t="s">
        <v>42</v>
      </c>
      <c r="Z109">
        <v>0.12</v>
      </c>
      <c r="AA109">
        <v>-2.001E-2</v>
      </c>
      <c r="AB109">
        <v>0.11695</v>
      </c>
      <c r="AC109" s="7">
        <v>0.98692999999999997</v>
      </c>
    </row>
    <row r="110" spans="1:30" x14ac:dyDescent="0.25">
      <c r="A110" t="s">
        <v>30</v>
      </c>
      <c r="B110" t="s">
        <v>43</v>
      </c>
      <c r="C110">
        <v>9.1179999999999997E-2</v>
      </c>
      <c r="D110">
        <v>0.20132</v>
      </c>
      <c r="E110">
        <v>0.30791000000000002</v>
      </c>
      <c r="F110">
        <v>5.0290000000000001E-2</v>
      </c>
      <c r="G110">
        <v>0.15633</v>
      </c>
      <c r="H110">
        <v>4.4690000000000001E-2</v>
      </c>
      <c r="J110" s="4">
        <f t="shared" si="6"/>
        <v>3.5752041254834555</v>
      </c>
      <c r="K110" s="4">
        <f t="shared" si="7"/>
        <v>1.7145207282298749</v>
      </c>
      <c r="M110" t="s">
        <v>30</v>
      </c>
      <c r="N110" t="s">
        <v>43</v>
      </c>
      <c r="O110">
        <v>2.436E-2</v>
      </c>
      <c r="P110">
        <v>3.4599999999999999E-2</v>
      </c>
      <c r="Q110">
        <v>2.563E-2</v>
      </c>
      <c r="R110">
        <v>1.366E-2</v>
      </c>
      <c r="S110">
        <v>2.3060000000000001E-2</v>
      </c>
      <c r="T110">
        <v>1.15E-2</v>
      </c>
      <c r="V110" s="7">
        <f t="shared" si="5"/>
        <v>0.15593152679284272</v>
      </c>
      <c r="X110" t="s">
        <v>30</v>
      </c>
      <c r="Y110" t="s">
        <v>43</v>
      </c>
      <c r="Z110">
        <v>0.23</v>
      </c>
      <c r="AA110">
        <v>-1.8350000000000002E-2</v>
      </c>
      <c r="AB110">
        <v>0.11572</v>
      </c>
      <c r="AC110" s="7">
        <v>0.97385999999999995</v>
      </c>
    </row>
    <row r="111" spans="1:30" x14ac:dyDescent="0.25">
      <c r="A111" t="s">
        <v>30</v>
      </c>
      <c r="B111" t="s">
        <v>44</v>
      </c>
      <c r="C111">
        <v>9.7519999999999996E-2</v>
      </c>
      <c r="D111">
        <v>0.21349000000000001</v>
      </c>
      <c r="E111">
        <v>0.31623000000000001</v>
      </c>
      <c r="F111">
        <v>5.3670000000000002E-2</v>
      </c>
      <c r="G111">
        <v>0.16253999999999999</v>
      </c>
      <c r="H111">
        <v>4.4549999999999999E-2</v>
      </c>
      <c r="J111" s="4">
        <f t="shared" si="6"/>
        <v>3.5366302237662208</v>
      </c>
      <c r="K111" s="4">
        <f t="shared" si="7"/>
        <v>1.666735028712059</v>
      </c>
      <c r="L111" s="7"/>
      <c r="M111" t="s">
        <v>30</v>
      </c>
      <c r="N111" t="s">
        <v>44</v>
      </c>
      <c r="O111">
        <v>2.9919999999999999E-2</v>
      </c>
      <c r="P111">
        <v>3.5229999999999997E-2</v>
      </c>
      <c r="Q111">
        <v>2.274E-2</v>
      </c>
      <c r="R111">
        <v>1.434E-2</v>
      </c>
      <c r="S111">
        <v>2.0150000000000001E-2</v>
      </c>
      <c r="T111">
        <v>1.0070000000000001E-2</v>
      </c>
      <c r="V111" s="7">
        <f t="shared" si="5"/>
        <v>0.14915540540540542</v>
      </c>
      <c r="W111" s="7">
        <f>AVERAGE(V106:V111)/AVERAGE(V100:V105)-1</f>
        <v>-1.7101740502600049E-2</v>
      </c>
      <c r="X111" t="s">
        <v>30</v>
      </c>
      <c r="Y111" t="s">
        <v>44</v>
      </c>
      <c r="Z111">
        <v>0.28999999999999998</v>
      </c>
      <c r="AA111">
        <v>-3.0779999999999998E-2</v>
      </c>
      <c r="AB111">
        <v>0.12329</v>
      </c>
      <c r="AC111" s="7">
        <v>0.97385999999999995</v>
      </c>
      <c r="AD111" s="7"/>
    </row>
    <row r="112" spans="1:30" x14ac:dyDescent="0.25">
      <c r="A112" t="s">
        <v>31</v>
      </c>
      <c r="B112" t="s">
        <v>33</v>
      </c>
      <c r="C112">
        <v>2.86E-2</v>
      </c>
      <c r="D112">
        <v>6.8989999999999996E-2</v>
      </c>
      <c r="E112">
        <v>0.10150000000000001</v>
      </c>
      <c r="F112">
        <v>1.5440000000000001E-2</v>
      </c>
      <c r="G112">
        <v>4.308E-2</v>
      </c>
      <c r="H112">
        <v>1.289E-2</v>
      </c>
      <c r="J112" s="4">
        <f t="shared" si="6"/>
        <v>3.7514491480765857</v>
      </c>
      <c r="K112" s="4">
        <f t="shared" si="7"/>
        <v>1.5062937062937063</v>
      </c>
      <c r="M112" t="s">
        <v>31</v>
      </c>
      <c r="N112" t="s">
        <v>33</v>
      </c>
      <c r="O112">
        <v>8.6899999999999998E-3</v>
      </c>
      <c r="P112">
        <v>1.242E-2</v>
      </c>
      <c r="Q112">
        <v>1.051E-2</v>
      </c>
      <c r="R112">
        <v>3.9100000000000003E-3</v>
      </c>
      <c r="S112">
        <v>6.1500000000000001E-3</v>
      </c>
      <c r="T112">
        <v>2.5699999999999998E-3</v>
      </c>
      <c r="V112" s="7">
        <f t="shared" si="5"/>
        <v>0.16358595194085032</v>
      </c>
      <c r="X112" t="s">
        <v>31</v>
      </c>
      <c r="Y112" t="s">
        <v>33</v>
      </c>
      <c r="Z112">
        <v>0.74</v>
      </c>
      <c r="AA112">
        <v>-1.116E-2</v>
      </c>
      <c r="AB112">
        <v>3.5700000000000003E-2</v>
      </c>
      <c r="AC112" s="7">
        <v>0.94771000000000005</v>
      </c>
    </row>
    <row r="113" spans="1:30" x14ac:dyDescent="0.25">
      <c r="A113" t="s">
        <v>31</v>
      </c>
      <c r="B113" t="s">
        <v>34</v>
      </c>
      <c r="C113">
        <v>5.0319999999999997E-2</v>
      </c>
      <c r="D113">
        <v>0.13500999999999999</v>
      </c>
      <c r="E113">
        <v>0.20293</v>
      </c>
      <c r="F113">
        <v>2.64E-2</v>
      </c>
      <c r="G113">
        <v>8.584E-2</v>
      </c>
      <c r="H113">
        <v>2.1160000000000002E-2</v>
      </c>
      <c r="J113" s="4">
        <f t="shared" si="6"/>
        <v>4.3295872496935033</v>
      </c>
      <c r="K113" s="4">
        <f t="shared" si="7"/>
        <v>1.7058823529411766</v>
      </c>
      <c r="M113" t="s">
        <v>31</v>
      </c>
      <c r="N113" t="s">
        <v>34</v>
      </c>
      <c r="O113">
        <v>1.6740000000000001E-2</v>
      </c>
      <c r="P113">
        <v>2.4389999999999998E-2</v>
      </c>
      <c r="Q113">
        <v>2.002E-2</v>
      </c>
      <c r="R113">
        <v>8.1300000000000001E-3</v>
      </c>
      <c r="S113">
        <v>1.2959999999999999E-2</v>
      </c>
      <c r="T113">
        <v>5.5300000000000002E-3</v>
      </c>
      <c r="V113" s="7">
        <f t="shared" si="5"/>
        <v>0.16825135145497069</v>
      </c>
      <c r="X113" t="s">
        <v>31</v>
      </c>
      <c r="Y113" t="s">
        <v>34</v>
      </c>
      <c r="Z113">
        <v>0.35</v>
      </c>
      <c r="AA113">
        <v>-1.8350000000000002E-2</v>
      </c>
      <c r="AB113">
        <v>6.5629999999999994E-2</v>
      </c>
      <c r="AC113" s="7">
        <v>0.96077999999999997</v>
      </c>
    </row>
    <row r="114" spans="1:30" x14ac:dyDescent="0.25">
      <c r="A114" t="s">
        <v>31</v>
      </c>
      <c r="B114" t="s">
        <v>35</v>
      </c>
      <c r="C114">
        <v>2.8039999999999999E-2</v>
      </c>
      <c r="D114">
        <v>7.1760000000000004E-2</v>
      </c>
      <c r="E114">
        <v>0.10591</v>
      </c>
      <c r="F114">
        <v>1.6320000000000001E-2</v>
      </c>
      <c r="G114">
        <v>4.3589999999999997E-2</v>
      </c>
      <c r="H114">
        <v>1.3599999999999999E-2</v>
      </c>
      <c r="J114" s="4">
        <f t="shared" si="6"/>
        <v>3.8174603174603168</v>
      </c>
      <c r="K114" s="4">
        <f t="shared" si="7"/>
        <v>1.5545649072753209</v>
      </c>
      <c r="M114" t="s">
        <v>31</v>
      </c>
      <c r="N114" t="s">
        <v>35</v>
      </c>
      <c r="O114">
        <v>7.9900000000000006E-3</v>
      </c>
      <c r="P114">
        <v>1.132E-2</v>
      </c>
      <c r="Q114">
        <v>9.9500000000000005E-3</v>
      </c>
      <c r="R114">
        <v>3.6099999999999999E-3</v>
      </c>
      <c r="S114">
        <v>6.1399999999999996E-3</v>
      </c>
      <c r="T114">
        <v>2.4199999999999998E-3</v>
      </c>
      <c r="V114" s="7">
        <f t="shared" si="5"/>
        <v>0.14837762337941407</v>
      </c>
      <c r="X114" t="s">
        <v>31</v>
      </c>
      <c r="Y114" t="s">
        <v>35</v>
      </c>
      <c r="Z114">
        <v>0.51</v>
      </c>
      <c r="AA114">
        <v>-8.8000000000000005E-3</v>
      </c>
      <c r="AB114">
        <v>3.5310000000000001E-2</v>
      </c>
      <c r="AC114" s="7">
        <v>0.95425000000000004</v>
      </c>
    </row>
    <row r="115" spans="1:30" x14ac:dyDescent="0.25">
      <c r="A115" t="s">
        <v>31</v>
      </c>
      <c r="B115" t="s">
        <v>36</v>
      </c>
      <c r="C115">
        <v>4.9430000000000002E-2</v>
      </c>
      <c r="D115">
        <v>0.11921</v>
      </c>
      <c r="E115">
        <v>0.18679000000000001</v>
      </c>
      <c r="F115">
        <v>2.597E-2</v>
      </c>
      <c r="G115">
        <v>8.4760000000000002E-2</v>
      </c>
      <c r="H115">
        <v>2.1329999999999998E-2</v>
      </c>
      <c r="J115" s="4">
        <f t="shared" si="6"/>
        <v>4.0396981288121578</v>
      </c>
      <c r="K115" s="4">
        <f t="shared" si="7"/>
        <v>1.7147481286668016</v>
      </c>
      <c r="M115" t="s">
        <v>31</v>
      </c>
      <c r="N115" t="s">
        <v>36</v>
      </c>
      <c r="O115">
        <v>1.5990000000000001E-2</v>
      </c>
      <c r="P115">
        <v>2.2970000000000001E-2</v>
      </c>
      <c r="Q115">
        <v>1.866E-2</v>
      </c>
      <c r="R115">
        <v>8.2299999999999995E-3</v>
      </c>
      <c r="S115">
        <v>1.308E-2</v>
      </c>
      <c r="T115">
        <v>5.4599999999999996E-3</v>
      </c>
      <c r="V115" s="7">
        <f t="shared" si="5"/>
        <v>0.17311124330755501</v>
      </c>
      <c r="X115" t="s">
        <v>31</v>
      </c>
      <c r="Y115" t="s">
        <v>36</v>
      </c>
      <c r="Z115">
        <v>0.35</v>
      </c>
      <c r="AA115">
        <v>-1.503E-2</v>
      </c>
      <c r="AB115">
        <v>6.4140000000000003E-2</v>
      </c>
      <c r="AC115" s="7">
        <v>0.96077999999999997</v>
      </c>
    </row>
    <row r="116" spans="1:30" x14ac:dyDescent="0.25">
      <c r="A116" t="s">
        <v>31</v>
      </c>
      <c r="B116" t="s">
        <v>37</v>
      </c>
      <c r="C116">
        <v>5.228E-2</v>
      </c>
      <c r="D116">
        <v>0.11094999999999999</v>
      </c>
      <c r="E116">
        <v>0.19086</v>
      </c>
      <c r="F116">
        <v>2.921E-2</v>
      </c>
      <c r="G116">
        <v>9.3560000000000004E-2</v>
      </c>
      <c r="H116">
        <v>2.886E-2</v>
      </c>
      <c r="J116" s="4">
        <f t="shared" si="6"/>
        <v>3.5828726778432256</v>
      </c>
      <c r="K116" s="4">
        <f t="shared" si="7"/>
        <v>1.7895944912012243</v>
      </c>
      <c r="M116" t="s">
        <v>31</v>
      </c>
      <c r="N116" t="s">
        <v>37</v>
      </c>
      <c r="O116">
        <v>1.3180000000000001E-2</v>
      </c>
      <c r="P116">
        <v>2.1690000000000001E-2</v>
      </c>
      <c r="Q116">
        <v>2.0400000000000001E-2</v>
      </c>
      <c r="R116">
        <v>6.5399999999999998E-3</v>
      </c>
      <c r="S116">
        <v>1.694E-2</v>
      </c>
      <c r="T116">
        <v>8.0300000000000007E-3</v>
      </c>
      <c r="V116" s="7">
        <f t="shared" si="5"/>
        <v>0.17159693110812305</v>
      </c>
      <c r="X116" t="s">
        <v>31</v>
      </c>
      <c r="Y116" t="s">
        <v>37</v>
      </c>
      <c r="Z116">
        <v>0.31</v>
      </c>
      <c r="AA116">
        <v>-1.7780000000000001E-2</v>
      </c>
      <c r="AB116">
        <v>6.191E-2</v>
      </c>
      <c r="AC116" s="7">
        <v>0.97385999999999995</v>
      </c>
    </row>
    <row r="117" spans="1:30" x14ac:dyDescent="0.25">
      <c r="A117" t="s">
        <v>31</v>
      </c>
      <c r="B117" t="s">
        <v>38</v>
      </c>
      <c r="C117">
        <v>5.3370000000000001E-2</v>
      </c>
      <c r="D117">
        <v>0.11545999999999999</v>
      </c>
      <c r="E117">
        <v>0.20019000000000001</v>
      </c>
      <c r="F117">
        <v>2.8680000000000001E-2</v>
      </c>
      <c r="G117">
        <v>9.8210000000000006E-2</v>
      </c>
      <c r="H117">
        <v>2.8969999999999999E-2</v>
      </c>
      <c r="J117" s="4">
        <f t="shared" si="6"/>
        <v>3.727796793370564</v>
      </c>
      <c r="K117" s="4">
        <f t="shared" si="7"/>
        <v>1.8401723814877273</v>
      </c>
      <c r="M117" t="s">
        <v>31</v>
      </c>
      <c r="N117" t="s">
        <v>38</v>
      </c>
      <c r="O117">
        <v>1.482E-2</v>
      </c>
      <c r="P117">
        <v>2.2530000000000001E-2</v>
      </c>
      <c r="Q117">
        <v>2.154E-2</v>
      </c>
      <c r="R117">
        <v>6.9499999999999996E-3</v>
      </c>
      <c r="S117">
        <v>1.771E-2</v>
      </c>
      <c r="T117">
        <v>9.5899999999999996E-3</v>
      </c>
      <c r="V117" s="7">
        <f t="shared" si="5"/>
        <v>0.17745008382868466</v>
      </c>
      <c r="X117" t="s">
        <v>31</v>
      </c>
      <c r="Y117" t="s">
        <v>38</v>
      </c>
      <c r="Z117">
        <v>0.31</v>
      </c>
      <c r="AA117">
        <v>-1.7500000000000002E-2</v>
      </c>
      <c r="AB117">
        <v>6.4280000000000004E-2</v>
      </c>
      <c r="AC117" s="7">
        <v>0.97385999999999995</v>
      </c>
    </row>
    <row r="118" spans="1:30" x14ac:dyDescent="0.25">
      <c r="A118" t="s">
        <v>31</v>
      </c>
      <c r="B118" t="s">
        <v>39</v>
      </c>
      <c r="C118">
        <v>3.7100000000000001E-2</v>
      </c>
      <c r="D118">
        <v>9.6180000000000002E-2</v>
      </c>
      <c r="E118">
        <v>0.14360999999999999</v>
      </c>
      <c r="F118">
        <v>1.917E-2</v>
      </c>
      <c r="G118">
        <v>6.0010000000000001E-2</v>
      </c>
      <c r="H118">
        <v>1.5520000000000001E-2</v>
      </c>
      <c r="J118" s="4">
        <f t="shared" si="6"/>
        <v>4.1760690904025628</v>
      </c>
      <c r="K118" s="4">
        <f t="shared" si="7"/>
        <v>1.6175202156334232</v>
      </c>
      <c r="M118" t="s">
        <v>31</v>
      </c>
      <c r="N118" t="s">
        <v>39</v>
      </c>
      <c r="O118">
        <v>1.2109999999999999E-2</v>
      </c>
      <c r="P118">
        <v>1.7590000000000001E-2</v>
      </c>
      <c r="Q118">
        <v>1.473E-2</v>
      </c>
      <c r="R118">
        <v>5.6800000000000002E-3</v>
      </c>
      <c r="S118">
        <v>8.9999999999999993E-3</v>
      </c>
      <c r="T118">
        <v>3.7799999999999999E-3</v>
      </c>
      <c r="V118" s="7">
        <f t="shared" si="5"/>
        <v>0.16924567399553272</v>
      </c>
      <c r="X118" t="s">
        <v>31</v>
      </c>
      <c r="Y118" t="s">
        <v>39</v>
      </c>
      <c r="Z118">
        <v>0.49</v>
      </c>
      <c r="AA118">
        <v>-1.474E-2</v>
      </c>
      <c r="AB118">
        <v>4.8099999999999997E-2</v>
      </c>
      <c r="AC118" s="7">
        <v>0.95425000000000004</v>
      </c>
    </row>
    <row r="119" spans="1:30" x14ac:dyDescent="0.25">
      <c r="A119" t="s">
        <v>31</v>
      </c>
      <c r="B119" t="s">
        <v>40</v>
      </c>
      <c r="C119">
        <v>4.5589999999999999E-2</v>
      </c>
      <c r="D119">
        <v>0.13053999999999999</v>
      </c>
      <c r="E119">
        <v>0.19869999999999999</v>
      </c>
      <c r="F119">
        <v>2.5100000000000001E-2</v>
      </c>
      <c r="G119">
        <v>8.5239999999999996E-2</v>
      </c>
      <c r="H119">
        <v>2.0729999999999998E-2</v>
      </c>
      <c r="J119" s="4">
        <f t="shared" si="6"/>
        <v>4.5338000437541011</v>
      </c>
      <c r="K119" s="4">
        <f t="shared" si="7"/>
        <v>1.8697082693573153</v>
      </c>
      <c r="M119" t="s">
        <v>31</v>
      </c>
      <c r="N119" t="s">
        <v>40</v>
      </c>
      <c r="O119">
        <v>1.423E-2</v>
      </c>
      <c r="P119">
        <v>2.3019999999999999E-2</v>
      </c>
      <c r="Q119">
        <v>1.933E-2</v>
      </c>
      <c r="R119">
        <v>7.1500000000000001E-3</v>
      </c>
      <c r="S119">
        <v>1.21E-2</v>
      </c>
      <c r="T119">
        <v>5.4099999999999999E-3</v>
      </c>
      <c r="V119" s="7">
        <f t="shared" si="5"/>
        <v>0.16058509586874875</v>
      </c>
      <c r="X119" t="s">
        <v>31</v>
      </c>
      <c r="Y119" t="s">
        <v>40</v>
      </c>
      <c r="Z119">
        <v>0.12</v>
      </c>
      <c r="AA119">
        <v>-1.3100000000000001E-2</v>
      </c>
      <c r="AB119">
        <v>6.4060000000000006E-2</v>
      </c>
      <c r="AC119" s="7">
        <v>0.98692999999999997</v>
      </c>
    </row>
    <row r="120" spans="1:30" x14ac:dyDescent="0.25">
      <c r="A120" t="s">
        <v>31</v>
      </c>
      <c r="B120" t="s">
        <v>41</v>
      </c>
      <c r="C120">
        <v>3.6220000000000002E-2</v>
      </c>
      <c r="D120">
        <v>8.7349999999999997E-2</v>
      </c>
      <c r="E120">
        <v>0.13456000000000001</v>
      </c>
      <c r="F120">
        <v>1.934E-2</v>
      </c>
      <c r="G120">
        <v>5.9459999999999999E-2</v>
      </c>
      <c r="H120">
        <v>1.5970000000000002E-2</v>
      </c>
      <c r="J120" s="4">
        <f t="shared" si="6"/>
        <v>3.9335942960995389</v>
      </c>
      <c r="K120" s="4">
        <f t="shared" si="7"/>
        <v>1.6416344561016012</v>
      </c>
      <c r="M120" t="s">
        <v>31</v>
      </c>
      <c r="N120" t="s">
        <v>41</v>
      </c>
      <c r="O120">
        <v>1.1299999999999999E-2</v>
      </c>
      <c r="P120">
        <v>1.5599999999999999E-2</v>
      </c>
      <c r="Q120">
        <v>1.3270000000000001E-2</v>
      </c>
      <c r="R120">
        <v>5.4799999999999996E-3</v>
      </c>
      <c r="S120">
        <v>8.9200000000000008E-3</v>
      </c>
      <c r="T120">
        <v>3.62E-3</v>
      </c>
      <c r="V120" s="7">
        <f t="shared" si="5"/>
        <v>0.1648909039387928</v>
      </c>
      <c r="X120" t="s">
        <v>31</v>
      </c>
      <c r="Y120" t="s">
        <v>41</v>
      </c>
      <c r="Z120">
        <v>0.41</v>
      </c>
      <c r="AA120">
        <v>-1.1469999999999999E-2</v>
      </c>
      <c r="AB120">
        <v>4.7539999999999999E-2</v>
      </c>
      <c r="AC120" s="7">
        <v>0.96077999999999997</v>
      </c>
    </row>
    <row r="121" spans="1:30" x14ac:dyDescent="0.25">
      <c r="A121" t="s">
        <v>31</v>
      </c>
      <c r="B121" t="s">
        <v>42</v>
      </c>
      <c r="C121">
        <v>4.5010000000000001E-2</v>
      </c>
      <c r="D121">
        <v>0.11615</v>
      </c>
      <c r="E121">
        <v>0.18432999999999999</v>
      </c>
      <c r="F121">
        <v>2.4670000000000001E-2</v>
      </c>
      <c r="G121">
        <v>8.4360000000000004E-2</v>
      </c>
      <c r="H121">
        <v>2.086E-2</v>
      </c>
      <c r="J121" s="4">
        <f t="shared" si="6"/>
        <v>4.2504970178926431</v>
      </c>
      <c r="K121" s="4">
        <f t="shared" si="7"/>
        <v>1.8742501666296378</v>
      </c>
      <c r="M121" t="s">
        <v>31</v>
      </c>
      <c r="N121" t="s">
        <v>42</v>
      </c>
      <c r="O121">
        <v>1.3769999999999999E-2</v>
      </c>
      <c r="P121">
        <v>2.213E-2</v>
      </c>
      <c r="Q121">
        <v>1.8239999999999999E-2</v>
      </c>
      <c r="R121">
        <v>7.3800000000000003E-3</v>
      </c>
      <c r="S121">
        <v>1.235E-2</v>
      </c>
      <c r="T121">
        <v>5.3200000000000001E-3</v>
      </c>
      <c r="V121" s="7">
        <f t="shared" si="5"/>
        <v>0.16658252345492028</v>
      </c>
      <c r="X121" t="s">
        <v>31</v>
      </c>
      <c r="Y121" t="s">
        <v>42</v>
      </c>
      <c r="Z121">
        <v>0.12</v>
      </c>
      <c r="AA121">
        <v>-1.125E-2</v>
      </c>
      <c r="AB121">
        <v>6.2109999999999999E-2</v>
      </c>
      <c r="AC121" s="7">
        <v>0.98692999999999997</v>
      </c>
    </row>
    <row r="122" spans="1:30" x14ac:dyDescent="0.25">
      <c r="A122" t="s">
        <v>31</v>
      </c>
      <c r="B122" t="s">
        <v>43</v>
      </c>
      <c r="C122">
        <v>4.793E-2</v>
      </c>
      <c r="D122">
        <v>0.11232</v>
      </c>
      <c r="E122">
        <v>0.18223</v>
      </c>
      <c r="F122">
        <v>2.5839999999999998E-2</v>
      </c>
      <c r="G122">
        <v>8.4959999999999994E-2</v>
      </c>
      <c r="H122">
        <v>2.2890000000000001E-2</v>
      </c>
      <c r="J122" s="4">
        <f t="shared" si="6"/>
        <v>3.9262362921580798</v>
      </c>
      <c r="K122" s="4">
        <f t="shared" si="7"/>
        <v>1.7725850198205715</v>
      </c>
      <c r="M122" t="s">
        <v>31</v>
      </c>
      <c r="N122" t="s">
        <v>43</v>
      </c>
      <c r="O122">
        <v>1.325E-2</v>
      </c>
      <c r="P122">
        <v>2.1229999999999999E-2</v>
      </c>
      <c r="Q122">
        <v>1.7809999999999999E-2</v>
      </c>
      <c r="R122">
        <v>7.2300000000000003E-3</v>
      </c>
      <c r="S122">
        <v>1.353E-2</v>
      </c>
      <c r="T122">
        <v>6.0400000000000002E-3</v>
      </c>
      <c r="V122" s="7">
        <f t="shared" si="5"/>
        <v>0.16609614213411178</v>
      </c>
      <c r="X122" t="s">
        <v>31</v>
      </c>
      <c r="Y122" t="s">
        <v>43</v>
      </c>
      <c r="Z122">
        <v>0.23</v>
      </c>
      <c r="AA122">
        <v>-1.026E-2</v>
      </c>
      <c r="AB122">
        <v>6.1420000000000002E-2</v>
      </c>
      <c r="AC122" s="7">
        <v>0.97385999999999995</v>
      </c>
    </row>
    <row r="123" spans="1:30" x14ac:dyDescent="0.25">
      <c r="A123" t="s">
        <v>31</v>
      </c>
      <c r="B123" t="s">
        <v>44</v>
      </c>
      <c r="C123">
        <v>5.1499999999999997E-2</v>
      </c>
      <c r="D123">
        <v>0.11992</v>
      </c>
      <c r="E123">
        <v>0.18801999999999999</v>
      </c>
      <c r="F123">
        <v>2.7629999999999998E-2</v>
      </c>
      <c r="G123">
        <v>8.8590000000000002E-2</v>
      </c>
      <c r="H123">
        <v>2.281E-2</v>
      </c>
      <c r="J123" s="4">
        <f t="shared" si="6"/>
        <v>3.8898371591132044</v>
      </c>
      <c r="K123" s="4">
        <f t="shared" si="7"/>
        <v>1.7201941747572818</v>
      </c>
      <c r="L123" s="7"/>
      <c r="M123" t="s">
        <v>31</v>
      </c>
      <c r="N123" t="s">
        <v>44</v>
      </c>
      <c r="O123">
        <v>1.6449999999999999E-2</v>
      </c>
      <c r="P123">
        <v>2.2079999999999999E-2</v>
      </c>
      <c r="Q123">
        <v>1.6029999999999999E-2</v>
      </c>
      <c r="R123">
        <v>7.62E-3</v>
      </c>
      <c r="S123">
        <v>1.188E-2</v>
      </c>
      <c r="T123">
        <v>5.28E-3</v>
      </c>
      <c r="V123" s="7">
        <f t="shared" si="5"/>
        <v>0.1591670511766004</v>
      </c>
      <c r="W123" s="7">
        <f>AVERAGE(V118:V123)/AVERAGE(V112:V117)-1</f>
        <v>-1.5768373183867812E-2</v>
      </c>
      <c r="X123" t="s">
        <v>31</v>
      </c>
      <c r="Y123" t="s">
        <v>44</v>
      </c>
      <c r="Z123">
        <v>0.28999999999999998</v>
      </c>
      <c r="AA123">
        <v>-1.755E-2</v>
      </c>
      <c r="AB123">
        <v>6.5699999999999995E-2</v>
      </c>
      <c r="AC123" s="7">
        <v>0.97385999999999995</v>
      </c>
      <c r="AD123" s="7"/>
    </row>
    <row r="124" spans="1:30" x14ac:dyDescent="0.25">
      <c r="A124" t="s">
        <v>12</v>
      </c>
      <c r="B124" t="s">
        <v>33</v>
      </c>
      <c r="C124">
        <v>3.7150000000000002E-2</v>
      </c>
      <c r="D124">
        <v>5.5989999999999998E-2</v>
      </c>
      <c r="E124">
        <v>7.2749999999999995E-2</v>
      </c>
      <c r="F124">
        <v>2.1690000000000001E-2</v>
      </c>
      <c r="G124">
        <v>3.9120000000000002E-2</v>
      </c>
      <c r="H124">
        <v>1.8669999999999999E-2</v>
      </c>
      <c r="J124" s="4">
        <f t="shared" ref="J124:J135" si="8">AVERAGE(D124,E124,G124)/AVERAGE(C124,F124,H124)</f>
        <v>2.1656560443813704</v>
      </c>
      <c r="K124" s="4">
        <f t="shared" ref="K124:K135" si="9">MIN(D124,E124,G124)/MAX(C124,F124,H124)</f>
        <v>1.053028263795424</v>
      </c>
      <c r="M124" t="s">
        <v>12</v>
      </c>
      <c r="N124" t="s">
        <v>33</v>
      </c>
      <c r="O124">
        <v>1.108E-2</v>
      </c>
      <c r="P124">
        <v>1.0500000000000001E-2</v>
      </c>
      <c r="Q124">
        <v>8.5900000000000004E-3</v>
      </c>
      <c r="R124">
        <v>4.6600000000000001E-3</v>
      </c>
      <c r="S124">
        <v>5.11E-3</v>
      </c>
      <c r="T124">
        <v>2.5899999999999999E-3</v>
      </c>
      <c r="V124" s="7">
        <f t="shared" si="5"/>
        <v>0.17333007295105357</v>
      </c>
      <c r="W124" s="7"/>
      <c r="X124" t="s">
        <v>12</v>
      </c>
      <c r="Y124" t="s">
        <v>33</v>
      </c>
      <c r="Z124">
        <v>6.36</v>
      </c>
      <c r="AA124">
        <v>-2.9350000000000001E-2</v>
      </c>
      <c r="AB124">
        <v>3.5139999999999998E-2</v>
      </c>
      <c r="AC124" s="7">
        <v>0.89541999999999999</v>
      </c>
      <c r="AD124" s="7"/>
    </row>
    <row r="125" spans="1:30" x14ac:dyDescent="0.25">
      <c r="A125" t="s">
        <v>12</v>
      </c>
      <c r="B125" t="s">
        <v>34</v>
      </c>
      <c r="C125">
        <v>0.26062000000000002</v>
      </c>
      <c r="D125">
        <v>2.05017</v>
      </c>
      <c r="E125">
        <v>0.61933000000000005</v>
      </c>
      <c r="F125">
        <v>11.06076</v>
      </c>
      <c r="G125">
        <v>6.9967899999999998</v>
      </c>
      <c r="H125">
        <v>7.9388399999999999</v>
      </c>
      <c r="J125" s="4">
        <f t="shared" si="8"/>
        <v>0.5018784832156642</v>
      </c>
      <c r="K125" s="4">
        <f t="shared" si="9"/>
        <v>5.5993439872124524E-2</v>
      </c>
      <c r="M125" t="s">
        <v>12</v>
      </c>
      <c r="N125" t="s">
        <v>34</v>
      </c>
      <c r="O125">
        <v>0.13863</v>
      </c>
      <c r="P125">
        <v>5.8895999999999997</v>
      </c>
      <c r="Q125">
        <v>0.14424999999999999</v>
      </c>
      <c r="R125">
        <v>24.345569999999999</v>
      </c>
      <c r="S125">
        <v>21.86262</v>
      </c>
      <c r="T125">
        <v>13.884840000000001</v>
      </c>
      <c r="V125" s="7">
        <f t="shared" si="5"/>
        <v>2.2908228472774628</v>
      </c>
      <c r="X125" t="s">
        <v>12</v>
      </c>
      <c r="Y125" t="s">
        <v>34</v>
      </c>
      <c r="Z125">
        <v>22.53</v>
      </c>
      <c r="AA125">
        <v>-83.769769999999994</v>
      </c>
      <c r="AB125">
        <v>0.36937999999999999</v>
      </c>
      <c r="AC125" s="7">
        <v>0.80391999999999997</v>
      </c>
    </row>
    <row r="126" spans="1:30" x14ac:dyDescent="0.25">
      <c r="A126" t="s">
        <v>12</v>
      </c>
      <c r="B126" t="s">
        <v>35</v>
      </c>
      <c r="C126">
        <v>3.6790000000000003E-2</v>
      </c>
      <c r="D126">
        <v>9.4769999999999993E-2</v>
      </c>
      <c r="E126">
        <v>0.1181</v>
      </c>
      <c r="F126">
        <v>2.554E-2</v>
      </c>
      <c r="G126">
        <v>4.2750000000000003E-2</v>
      </c>
      <c r="H126">
        <v>2.0879999999999999E-2</v>
      </c>
      <c r="J126" s="4">
        <f t="shared" si="8"/>
        <v>3.0719865400793172</v>
      </c>
      <c r="K126" s="4">
        <f t="shared" si="9"/>
        <v>1.1620005436259853</v>
      </c>
      <c r="M126" t="s">
        <v>12</v>
      </c>
      <c r="N126" t="s">
        <v>35</v>
      </c>
      <c r="O126">
        <v>9.3200000000000002E-3</v>
      </c>
      <c r="P126">
        <v>1.103E-2</v>
      </c>
      <c r="Q126">
        <v>9.1699999999999993E-3</v>
      </c>
      <c r="R126">
        <v>4.81E-3</v>
      </c>
      <c r="S126">
        <v>6.28E-3</v>
      </c>
      <c r="T126">
        <v>2.8400000000000001E-3</v>
      </c>
      <c r="V126" s="7">
        <f t="shared" si="5"/>
        <v>0.12823539828232447</v>
      </c>
      <c r="X126" t="s">
        <v>12</v>
      </c>
      <c r="Y126" t="s">
        <v>35</v>
      </c>
      <c r="Z126">
        <v>3.5</v>
      </c>
      <c r="AA126">
        <v>-2.0580000000000001E-2</v>
      </c>
      <c r="AB126">
        <v>3.7220000000000003E-2</v>
      </c>
      <c r="AC126" s="7">
        <v>0.90849999999999997</v>
      </c>
    </row>
    <row r="127" spans="1:30" x14ac:dyDescent="0.25">
      <c r="A127" t="s">
        <v>12</v>
      </c>
      <c r="B127" t="s">
        <v>36</v>
      </c>
      <c r="C127">
        <v>0.25890999999999997</v>
      </c>
      <c r="D127">
        <v>1.92923</v>
      </c>
      <c r="E127">
        <v>0.61065000000000003</v>
      </c>
      <c r="F127">
        <v>11.22411</v>
      </c>
      <c r="G127">
        <v>6.9285399999999999</v>
      </c>
      <c r="H127">
        <v>7.9772100000000004</v>
      </c>
      <c r="J127" s="4">
        <f t="shared" si="8"/>
        <v>0.48655231721310593</v>
      </c>
      <c r="K127" s="4">
        <f t="shared" si="9"/>
        <v>5.4405204510647176E-2</v>
      </c>
      <c r="M127" t="s">
        <v>12</v>
      </c>
      <c r="N127" t="s">
        <v>36</v>
      </c>
      <c r="O127">
        <v>0.13791999999999999</v>
      </c>
      <c r="P127">
        <v>5.4826600000000001</v>
      </c>
      <c r="Q127">
        <v>0.12121</v>
      </c>
      <c r="R127">
        <v>24.776530000000001</v>
      </c>
      <c r="S127">
        <v>21.482109999999999</v>
      </c>
      <c r="T127">
        <v>13.938510000000001</v>
      </c>
      <c r="V127" s="7">
        <f t="shared" si="5"/>
        <v>2.2793645745653532</v>
      </c>
      <c r="X127" t="s">
        <v>12</v>
      </c>
      <c r="Y127" t="s">
        <v>36</v>
      </c>
      <c r="Z127">
        <v>22.57</v>
      </c>
      <c r="AA127">
        <v>-85.335719999999995</v>
      </c>
      <c r="AB127">
        <v>0.36797000000000002</v>
      </c>
      <c r="AC127" s="7">
        <v>0.81698999999999999</v>
      </c>
    </row>
    <row r="128" spans="1:30" x14ac:dyDescent="0.25">
      <c r="A128" t="s">
        <v>12</v>
      </c>
      <c r="B128" t="s">
        <v>37</v>
      </c>
      <c r="C128">
        <v>0.14704999999999999</v>
      </c>
      <c r="D128">
        <v>0.20213999999999999</v>
      </c>
      <c r="E128">
        <v>0.40855000000000002</v>
      </c>
      <c r="F128">
        <v>0.10031</v>
      </c>
      <c r="G128">
        <v>0.27443000000000001</v>
      </c>
      <c r="H128">
        <v>0.14358000000000001</v>
      </c>
      <c r="J128" s="4">
        <f t="shared" si="8"/>
        <v>2.2640814447229758</v>
      </c>
      <c r="K128" s="4">
        <f t="shared" si="9"/>
        <v>1.3746344780686841</v>
      </c>
      <c r="M128" t="s">
        <v>12</v>
      </c>
      <c r="N128" t="s">
        <v>37</v>
      </c>
      <c r="O128">
        <v>7.1440000000000003E-2</v>
      </c>
      <c r="P128">
        <v>7.9079999999999998E-2</v>
      </c>
      <c r="Q128">
        <v>7.9339999999999994E-2</v>
      </c>
      <c r="R128">
        <v>2.6509999999999999E-2</v>
      </c>
      <c r="S128">
        <v>8.1439999999999999E-2</v>
      </c>
      <c r="T128">
        <v>5.1540000000000002E-2</v>
      </c>
      <c r="V128" s="7">
        <f t="shared" si="5"/>
        <v>0.3051188815572935</v>
      </c>
      <c r="X128" t="s">
        <v>12</v>
      </c>
      <c r="Y128" t="s">
        <v>37</v>
      </c>
      <c r="Z128">
        <v>9.2799999999999994</v>
      </c>
      <c r="AA128">
        <v>-0.16536999999999999</v>
      </c>
      <c r="AB128">
        <v>0.14865</v>
      </c>
      <c r="AC128" s="7">
        <v>0.83006999999999997</v>
      </c>
    </row>
    <row r="129" spans="1:30" x14ac:dyDescent="0.25">
      <c r="A129" t="s">
        <v>12</v>
      </c>
      <c r="B129" t="s">
        <v>38</v>
      </c>
      <c r="C129">
        <v>0.15684999999999999</v>
      </c>
      <c r="D129">
        <v>0.22806000000000001</v>
      </c>
      <c r="E129">
        <v>0.48000999999999999</v>
      </c>
      <c r="F129">
        <v>0.10161000000000001</v>
      </c>
      <c r="G129">
        <v>0.33672000000000002</v>
      </c>
      <c r="H129">
        <v>0.17083999999999999</v>
      </c>
      <c r="J129" s="4">
        <f t="shared" si="8"/>
        <v>2.4337060330771019</v>
      </c>
      <c r="K129" s="4">
        <f t="shared" si="9"/>
        <v>1.3349332708967456</v>
      </c>
      <c r="M129" t="s">
        <v>12</v>
      </c>
      <c r="N129" t="s">
        <v>38</v>
      </c>
      <c r="O129">
        <v>9.536E-2</v>
      </c>
      <c r="P129">
        <v>9.6670000000000006E-2</v>
      </c>
      <c r="Q129">
        <v>8.8959999999999997E-2</v>
      </c>
      <c r="R129">
        <v>4.4089999999999997E-2</v>
      </c>
      <c r="S129">
        <v>0.10084</v>
      </c>
      <c r="T129">
        <v>9.0920000000000001E-2</v>
      </c>
      <c r="V129" s="7">
        <f t="shared" si="5"/>
        <v>0.35061631243682539</v>
      </c>
      <c r="X129" t="s">
        <v>12</v>
      </c>
      <c r="Y129" t="s">
        <v>38</v>
      </c>
      <c r="Z129">
        <v>11.05</v>
      </c>
      <c r="AA129">
        <v>-0.24351999999999999</v>
      </c>
      <c r="AB129">
        <v>0.17161000000000001</v>
      </c>
      <c r="AC129" s="7">
        <v>0.82352999999999998</v>
      </c>
    </row>
    <row r="130" spans="1:30" x14ac:dyDescent="0.25">
      <c r="A130" t="s">
        <v>12</v>
      </c>
      <c r="B130" t="s">
        <v>39</v>
      </c>
      <c r="C130">
        <v>6.762E-2</v>
      </c>
      <c r="D130">
        <v>0.11649</v>
      </c>
      <c r="E130">
        <v>0.15848000000000001</v>
      </c>
      <c r="F130">
        <v>3.2250000000000001E-2</v>
      </c>
      <c r="G130">
        <v>7.6679999999999998E-2</v>
      </c>
      <c r="H130">
        <v>2.486E-2</v>
      </c>
      <c r="J130" s="4">
        <f t="shared" si="8"/>
        <v>2.8192896656778643</v>
      </c>
      <c r="K130" s="4">
        <f t="shared" si="9"/>
        <v>1.1339840283939662</v>
      </c>
      <c r="M130" t="s">
        <v>12</v>
      </c>
      <c r="N130" t="s">
        <v>39</v>
      </c>
      <c r="O130">
        <v>2.452E-2</v>
      </c>
      <c r="P130">
        <v>2.3630000000000002E-2</v>
      </c>
      <c r="Q130">
        <v>1.865E-2</v>
      </c>
      <c r="R130">
        <v>1.1469999999999999E-2</v>
      </c>
      <c r="S130">
        <v>1.2630000000000001E-2</v>
      </c>
      <c r="T130">
        <v>6.4200000000000004E-3</v>
      </c>
      <c r="V130" s="7">
        <f t="shared" si="5"/>
        <v>0.20429069230446278</v>
      </c>
      <c r="X130" t="s">
        <v>12</v>
      </c>
      <c r="Y130" t="s">
        <v>39</v>
      </c>
      <c r="Z130">
        <v>5.47</v>
      </c>
      <c r="AA130">
        <v>-6.0049999999999999E-2</v>
      </c>
      <c r="AB130">
        <v>6.6619999999999999E-2</v>
      </c>
      <c r="AC130" s="7">
        <v>0.89541999999999999</v>
      </c>
    </row>
    <row r="131" spans="1:30" x14ac:dyDescent="0.25">
      <c r="A131" t="s">
        <v>12</v>
      </c>
      <c r="B131" t="s">
        <v>40</v>
      </c>
      <c r="C131">
        <v>0.30720999999999998</v>
      </c>
      <c r="D131">
        <v>0.51580000000000004</v>
      </c>
      <c r="E131">
        <v>0.64254</v>
      </c>
      <c r="F131">
        <v>0.18690000000000001</v>
      </c>
      <c r="G131">
        <v>0.41998000000000002</v>
      </c>
      <c r="H131">
        <v>0.14698</v>
      </c>
      <c r="J131" s="4">
        <f t="shared" si="8"/>
        <v>2.4619320220249885</v>
      </c>
      <c r="K131" s="4">
        <f t="shared" si="9"/>
        <v>1.3670778945997852</v>
      </c>
      <c r="M131" t="s">
        <v>12</v>
      </c>
      <c r="N131" t="s">
        <v>40</v>
      </c>
      <c r="O131">
        <v>8.3940000000000001E-2</v>
      </c>
      <c r="P131">
        <v>6.0979999999999999E-2</v>
      </c>
      <c r="Q131">
        <v>3.073E-2</v>
      </c>
      <c r="R131">
        <v>6.7250000000000004E-2</v>
      </c>
      <c r="S131">
        <v>4.5949999999999998E-2</v>
      </c>
      <c r="T131">
        <v>4.6089999999999999E-2</v>
      </c>
      <c r="V131" s="7">
        <f t="shared" si="5"/>
        <v>0.15091398164377021</v>
      </c>
      <c r="X131" t="s">
        <v>12</v>
      </c>
      <c r="Y131" t="s">
        <v>40</v>
      </c>
      <c r="Z131">
        <v>1.21</v>
      </c>
      <c r="AA131">
        <v>-0.12092</v>
      </c>
      <c r="AB131">
        <v>0.37126999999999999</v>
      </c>
      <c r="AC131" s="7">
        <v>0.95425000000000004</v>
      </c>
    </row>
    <row r="132" spans="1:30" x14ac:dyDescent="0.25">
      <c r="A132" t="s">
        <v>12</v>
      </c>
      <c r="B132" t="s">
        <v>41</v>
      </c>
      <c r="C132">
        <v>6.6159999999999997E-2</v>
      </c>
      <c r="D132">
        <v>0.13075999999999999</v>
      </c>
      <c r="E132">
        <v>0.17335999999999999</v>
      </c>
      <c r="F132">
        <v>3.4889999999999997E-2</v>
      </c>
      <c r="G132">
        <v>7.775E-2</v>
      </c>
      <c r="H132">
        <v>2.6759999999999999E-2</v>
      </c>
      <c r="J132" s="4">
        <f t="shared" si="8"/>
        <v>2.9877943822862059</v>
      </c>
      <c r="K132" s="4">
        <f t="shared" si="9"/>
        <v>1.1751813784764209</v>
      </c>
      <c r="M132" t="s">
        <v>12</v>
      </c>
      <c r="N132" t="s">
        <v>41</v>
      </c>
      <c r="O132">
        <v>2.2419999999999999E-2</v>
      </c>
      <c r="P132">
        <v>1.7170000000000001E-2</v>
      </c>
      <c r="Q132">
        <v>1.461E-2</v>
      </c>
      <c r="R132">
        <v>1.0330000000000001E-2</v>
      </c>
      <c r="S132">
        <v>1.1849999999999999E-2</v>
      </c>
      <c r="T132">
        <v>5.9899999999999997E-3</v>
      </c>
      <c r="V132" s="7">
        <f t="shared" si="5"/>
        <v>0.16161120703186316</v>
      </c>
      <c r="X132" t="s">
        <v>12</v>
      </c>
      <c r="Y132" t="s">
        <v>41</v>
      </c>
      <c r="Z132">
        <v>3.87</v>
      </c>
      <c r="AA132">
        <v>-5.135E-2</v>
      </c>
      <c r="AB132">
        <v>6.7019999999999996E-2</v>
      </c>
      <c r="AC132" s="7">
        <v>0.90849999999999997</v>
      </c>
    </row>
    <row r="133" spans="1:30" x14ac:dyDescent="0.25">
      <c r="A133" t="s">
        <v>12</v>
      </c>
      <c r="B133" t="s">
        <v>42</v>
      </c>
      <c r="C133">
        <v>0.30671999999999999</v>
      </c>
      <c r="D133">
        <v>0.50844999999999996</v>
      </c>
      <c r="E133">
        <v>0.63622999999999996</v>
      </c>
      <c r="F133">
        <v>0.18601000000000001</v>
      </c>
      <c r="G133">
        <v>0.41924</v>
      </c>
      <c r="H133">
        <v>0.14723</v>
      </c>
      <c r="J133" s="4">
        <f t="shared" si="8"/>
        <v>2.4437777361085073</v>
      </c>
      <c r="K133" s="4">
        <f t="shared" si="9"/>
        <v>1.366849243609807</v>
      </c>
      <c r="M133" t="s">
        <v>12</v>
      </c>
      <c r="N133" t="s">
        <v>42</v>
      </c>
      <c r="O133">
        <v>8.3940000000000001E-2</v>
      </c>
      <c r="P133">
        <v>6.2729999999999994E-2</v>
      </c>
      <c r="Q133">
        <v>3.279E-2</v>
      </c>
      <c r="R133">
        <v>6.7909999999999998E-2</v>
      </c>
      <c r="S133">
        <v>4.6289999999999998E-2</v>
      </c>
      <c r="T133">
        <v>4.5949999999999998E-2</v>
      </c>
      <c r="V133" s="7">
        <f t="shared" ref="V133:V135" si="10">AVERAGE(O133:T133)/AVERAGE(C133:H133)</f>
        <v>0.15409641178285569</v>
      </c>
      <c r="X133" t="s">
        <v>12</v>
      </c>
      <c r="Y133" t="s">
        <v>42</v>
      </c>
      <c r="Z133">
        <v>1.26</v>
      </c>
      <c r="AA133">
        <v>-0.12182</v>
      </c>
      <c r="AB133">
        <v>0.36757000000000001</v>
      </c>
      <c r="AC133" s="7">
        <v>0.95425000000000004</v>
      </c>
    </row>
    <row r="134" spans="1:30" x14ac:dyDescent="0.25">
      <c r="A134" t="s">
        <v>12</v>
      </c>
      <c r="B134" t="s">
        <v>43</v>
      </c>
      <c r="C134">
        <v>0.16098000000000001</v>
      </c>
      <c r="D134">
        <v>0.25001000000000001</v>
      </c>
      <c r="E134">
        <v>0.42351</v>
      </c>
      <c r="F134">
        <v>0.10054</v>
      </c>
      <c r="G134">
        <v>0.26668999999999998</v>
      </c>
      <c r="H134">
        <v>0.12021</v>
      </c>
      <c r="J134" s="4">
        <f t="shared" si="8"/>
        <v>2.4630236030702326</v>
      </c>
      <c r="K134" s="4">
        <f t="shared" si="9"/>
        <v>1.5530500683314696</v>
      </c>
      <c r="M134" t="s">
        <v>12</v>
      </c>
      <c r="N134" t="s">
        <v>43</v>
      </c>
      <c r="O134">
        <v>5.3460000000000001E-2</v>
      </c>
      <c r="P134">
        <v>5.9970000000000002E-2</v>
      </c>
      <c r="Q134">
        <v>5.4769999999999999E-2</v>
      </c>
      <c r="R134">
        <v>2.589E-2</v>
      </c>
      <c r="S134">
        <v>6.3130000000000006E-2</v>
      </c>
      <c r="T134">
        <v>4.0460000000000003E-2</v>
      </c>
      <c r="V134" s="7">
        <f t="shared" si="10"/>
        <v>0.22518419898028658</v>
      </c>
      <c r="X134" t="s">
        <v>12</v>
      </c>
      <c r="Y134" t="s">
        <v>43</v>
      </c>
      <c r="Z134">
        <v>3.33</v>
      </c>
      <c r="AA134">
        <v>-0.12198000000000001</v>
      </c>
      <c r="AB134">
        <v>0.17745</v>
      </c>
      <c r="AC134" s="7">
        <v>0.91503000000000001</v>
      </c>
    </row>
    <row r="135" spans="1:30" x14ac:dyDescent="0.25">
      <c r="A135" t="s">
        <v>12</v>
      </c>
      <c r="B135" t="s">
        <v>44</v>
      </c>
      <c r="C135">
        <v>0.62512000000000001</v>
      </c>
      <c r="D135">
        <v>0.60536999999999996</v>
      </c>
      <c r="E135">
        <v>0.75334999999999996</v>
      </c>
      <c r="F135">
        <v>0.26527000000000001</v>
      </c>
      <c r="G135">
        <v>0.59521999999999997</v>
      </c>
      <c r="H135">
        <v>0.49967</v>
      </c>
      <c r="J135" s="4">
        <f t="shared" si="8"/>
        <v>1.4056515546091535</v>
      </c>
      <c r="K135" s="4">
        <f t="shared" si="9"/>
        <v>0.95216918351676472</v>
      </c>
      <c r="L135" s="7"/>
      <c r="M135" t="s">
        <v>12</v>
      </c>
      <c r="N135" t="s">
        <v>44</v>
      </c>
      <c r="O135">
        <v>0.22619</v>
      </c>
      <c r="P135">
        <v>0.21981000000000001</v>
      </c>
      <c r="Q135">
        <v>0.10291</v>
      </c>
      <c r="R135">
        <v>0.13458999999999999</v>
      </c>
      <c r="S135">
        <v>0.17707000000000001</v>
      </c>
      <c r="T135">
        <v>0.26344000000000001</v>
      </c>
      <c r="V135" s="7">
        <f t="shared" si="10"/>
        <v>0.33612739234449768</v>
      </c>
      <c r="W135" s="7">
        <f>AVERAGE(V130:V135)/AVERAGE(V124:V129)-1</f>
        <v>-0.7770734437275213</v>
      </c>
      <c r="X135" t="s">
        <v>12</v>
      </c>
      <c r="Y135" t="s">
        <v>44</v>
      </c>
      <c r="Z135">
        <v>27.59</v>
      </c>
      <c r="AA135">
        <v>-0.61987000000000003</v>
      </c>
      <c r="AB135">
        <v>0.45212000000000002</v>
      </c>
      <c r="AC135" s="7">
        <v>0.73855999999999999</v>
      </c>
      <c r="AD135" s="7"/>
    </row>
  </sheetData>
  <mergeCells count="1">
    <mergeCell ref="J2:K2"/>
  </mergeCells>
  <conditionalFormatting sqref="C32"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:H4">
    <cfRule type="colorScale" priority="1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5:H5">
    <cfRule type="colorScale" priority="1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6:H6">
    <cfRule type="colorScale" priority="1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7:H7">
    <cfRule type="colorScale" priority="1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8:H8">
    <cfRule type="colorScale" priority="1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9:H9">
    <cfRule type="colorScale" priority="1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0:H10">
    <cfRule type="colorScale" priority="1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1:H11">
    <cfRule type="colorScale" priority="1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2:H12">
    <cfRule type="colorScale" priority="1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3:H13">
    <cfRule type="colorScale" priority="1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4:H14">
    <cfRule type="colorScale" priority="1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5:H15">
    <cfRule type="colorScale" priority="1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6:H16">
    <cfRule type="colorScale" priority="1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7:H17">
    <cfRule type="colorScale" priority="1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8:H18">
    <cfRule type="colorScale" priority="1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9:H19">
    <cfRule type="colorScale" priority="1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20:H20">
    <cfRule type="colorScale" priority="1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21:H21">
    <cfRule type="colorScale" priority="1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22:H22">
    <cfRule type="colorScale" priority="1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23:H23">
    <cfRule type="colorScale" priority="1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24:H24">
    <cfRule type="colorScale" priority="1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25:H25">
    <cfRule type="colorScale" priority="1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26:H26">
    <cfRule type="colorScale" priority="1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27:H27">
    <cfRule type="colorScale" priority="1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28:H28">
    <cfRule type="colorScale" priority="1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29:H29">
    <cfRule type="colorScale" priority="1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30:H30">
    <cfRule type="colorScale" priority="1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31:H31">
    <cfRule type="colorScale" priority="10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32:H32">
    <cfRule type="colorScale" priority="10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33:H33">
    <cfRule type="colorScale" priority="10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34:H34">
    <cfRule type="colorScale" priority="10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35:H35">
    <cfRule type="colorScale" priority="10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36:H36">
    <cfRule type="colorScale" priority="10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37:H37">
    <cfRule type="colorScale" priority="10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38:H38">
    <cfRule type="colorScale" priority="10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39:H39">
    <cfRule type="colorScale" priority="10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40:H40">
    <cfRule type="colorScale" priority="9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41:H41">
    <cfRule type="colorScale" priority="9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42:H42">
    <cfRule type="colorScale" priority="9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43:H43">
    <cfRule type="colorScale" priority="9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44:H44">
    <cfRule type="colorScale" priority="9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45:H45">
    <cfRule type="colorScale" priority="9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46:H46">
    <cfRule type="colorScale" priority="9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47:H47">
    <cfRule type="colorScale" priority="8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48:H48">
    <cfRule type="colorScale" priority="8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49:H49">
    <cfRule type="colorScale" priority="8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50:H50">
    <cfRule type="colorScale" priority="8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51:H51">
    <cfRule type="colorScale" priority="8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52:H52">
    <cfRule type="colorScale" priority="8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53:H53">
    <cfRule type="colorScale" priority="8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54:H54">
    <cfRule type="colorScale" priority="8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55:H55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56:H56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57:H57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58:H58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59:H59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60:H60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61:H61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62:H62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63:H63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64:H64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65:H65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66:H66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67:H67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68:H68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69:H69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70:H70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71:H71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72:H72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73:H73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74:H74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75:H75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76:H76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77:H77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78:H78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79:H79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80:H80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81:H81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82:H82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83:H83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84:H84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85:H85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86:H86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87:H87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88:H88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89:H89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90:H90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91:H91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92:H92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93:H93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94:H94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95:H95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96:H96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97:H97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98:H98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99:H99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00:H100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01:H101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02:H102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03:H103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04:H104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05:H105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06:H106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07:H107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08:H108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09:H109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10:H110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11:H111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12:H112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13:H113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14:H114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15:H115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16:H116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17:H117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18:H118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19:H119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20:H120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21:H121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22:H122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23:H123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24:H124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25:H125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26:H126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27:H127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28:H128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29:H129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30:H130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31:H131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32:H132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33:H133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34:H134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135:H135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J4:J135">
    <cfRule type="colorScale" priority="137">
      <colorScale>
        <cfvo type="num" val="1.2"/>
        <cfvo type="num" val="1.35"/>
        <cfvo type="num" val="2"/>
        <color rgb="FFF8696B"/>
        <color rgb="FFFFEB84"/>
        <color rgb="FF63BE7B"/>
      </colorScale>
    </cfRule>
  </conditionalFormatting>
  <conditionalFormatting sqref="K4:K135">
    <cfRule type="colorScale" priority="138">
      <colorScale>
        <cfvo type="num" val="1.2"/>
        <cfvo type="num" val="1.35"/>
        <cfvo type="num" val="2"/>
        <color rgb="FFF8696B"/>
        <color rgb="FFFFEB84"/>
        <color rgb="FF63BE7B"/>
      </colorScale>
    </cfRule>
  </conditionalFormatting>
  <conditionalFormatting sqref="V4:V135">
    <cfRule type="colorScale" priority="93">
      <colorScale>
        <cfvo type="num" val="0.1"/>
        <cfvo type="num" val="0.3"/>
        <cfvo type="num" val="0.5"/>
        <color rgb="FF63BE7B"/>
        <color rgb="FFFFFF99"/>
        <color rgb="FFF8696B"/>
      </colorScale>
    </cfRule>
  </conditionalFormatting>
  <conditionalFormatting sqref="Z4:Z135">
    <cfRule type="colorScale" priority="92">
      <colorScale>
        <cfvo type="num" val="0"/>
        <cfvo type="percentile" val="50"/>
        <cfvo type="num" val="10"/>
        <color rgb="FF63BE7B"/>
        <color rgb="FFFFFF99"/>
        <color rgb="FFF8696B"/>
      </colorScale>
    </cfRule>
  </conditionalFormatting>
  <conditionalFormatting sqref="AC4:AC135">
    <cfRule type="colorScale" priority="91">
      <colorScale>
        <cfvo type="num" val="0.9"/>
        <cfvo type="num" val="0.94"/>
        <cfvo type="num" val="0.98"/>
        <color rgb="FFF8696B"/>
        <color rgb="FFFFFF99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distances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Oleg Spakov (TAU)</dc:creator>
  <cp:lastModifiedBy>Oleg Spakov (TAU)</cp:lastModifiedBy>
  <dcterms:created xsi:type="dcterms:W3CDTF">2024-09-22T14:21:04Z</dcterms:created>
  <dcterms:modified xsi:type="dcterms:W3CDTF">2024-10-10T13:14:58Z</dcterms:modified>
</cp:coreProperties>
</file>